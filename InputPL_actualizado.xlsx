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934" firstSheet="0" activeTab="0" autoFilterDateGrouping="1"/>
  </bookViews>
  <sheets>
    <sheet name="InputPL" sheetId="1" state="visible" r:id="rId1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43780.7871180556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USD">#REF!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mmm/yy;@"/>
  </numFmts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Arial"/>
      <family val="2"/>
      <color rgb="FF000000"/>
      <sz val="8"/>
    </font>
    <font>
      <name val="Calibri"/>
      <family val="2"/>
      <color theme="1"/>
      <sz val="12"/>
      <scheme val="minor"/>
    </font>
    <font>
      <name val="Arial"/>
      <family val="2"/>
      <b val="1"/>
      <color rgb="FF000000"/>
      <sz val="8"/>
    </font>
    <font>
      <name val="Arial"/>
      <family val="2"/>
      <color rgb="FF303030"/>
      <sz val="8"/>
    </font>
    <font>
      <name val="Arial"/>
      <family val="2"/>
      <color rgb="FF000000"/>
      <sz val="10"/>
    </font>
    <font>
      <name val="Arial"/>
      <family val="2"/>
      <color rgb="FFFF0000"/>
      <sz val="8"/>
    </font>
    <font>
      <name val="Arial"/>
      <family val="2"/>
      <color rgb="FF000000"/>
      <sz val="1"/>
    </font>
    <font>
      <name val="Arial"/>
      <family val="2"/>
      <b val="1"/>
      <color rgb="FFFFFFFF"/>
      <sz val="14"/>
    </font>
    <font>
      <name val="Arial"/>
      <family val="2"/>
      <b val="1"/>
      <color rgb="FFFFFFFF"/>
      <sz val="8"/>
    </font>
    <font>
      <name val="Arial"/>
      <family val="2"/>
      <color rgb="FF004080"/>
      <sz val="14"/>
    </font>
    <font>
      <name val="Arial"/>
      <family val="2"/>
      <b val="1"/>
      <color rgb="FF000000"/>
      <sz val="10"/>
    </font>
    <font>
      <name val="Arial"/>
      <family val="2"/>
      <color rgb="FF000000"/>
      <sz val="12"/>
    </font>
    <font>
      <name val="Arial"/>
      <family val="2"/>
      <color rgb="FF000000"/>
      <sz val="12"/>
    </font>
  </fonts>
  <fills count="6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7FACD3"/>
        <bgColor indexed="64"/>
      </patternFill>
    </fill>
    <fill>
      <patternFill patternType="solid">
        <fgColor rgb="FF9AC725"/>
        <bgColor indexed="64"/>
      </patternFill>
    </fill>
  </fills>
  <borders count="1">
    <border>
      <left/>
      <right/>
      <top/>
      <bottom/>
      <diagonal/>
    </border>
  </borders>
  <cellStyleXfs count="51">
    <xf numFmtId="0" fontId="1" fillId="0" borderId="0"/>
    <xf numFmtId="0" fontId="1" fillId="0" borderId="0"/>
    <xf numFmtId="0" fontId="5" fillId="3" borderId="0" applyAlignment="1">
      <alignment horizontal="right" vertical="top"/>
    </xf>
    <xf numFmtId="0" fontId="6" fillId="0" borderId="0"/>
    <xf numFmtId="0" fontId="5" fillId="0" borderId="0" applyAlignment="1">
      <alignment horizontal="right" vertical="top"/>
    </xf>
    <xf numFmtId="0" fontId="5" fillId="0" borderId="0" applyAlignment="1">
      <alignment horizontal="left" vertical="top"/>
    </xf>
    <xf numFmtId="0" fontId="5" fillId="3" borderId="0" applyAlignment="1">
      <alignment horizontal="right" vertical="top"/>
    </xf>
    <xf numFmtId="0" fontId="5" fillId="3" borderId="0" applyAlignment="1">
      <alignment horizontal="left" vertical="top"/>
    </xf>
    <xf numFmtId="0" fontId="5" fillId="3" borderId="0" applyAlignment="1">
      <alignment horizontal="left" vertical="top"/>
    </xf>
    <xf numFmtId="0" fontId="5" fillId="3" borderId="0" applyAlignment="1">
      <alignment horizontal="right" vertical="top"/>
    </xf>
    <xf numFmtId="0" fontId="5" fillId="0" borderId="0" applyAlignment="1">
      <alignment horizontal="right" vertical="top"/>
    </xf>
    <xf numFmtId="0" fontId="5" fillId="0" borderId="0" applyAlignment="1">
      <alignment horizontal="left" vertical="top"/>
    </xf>
    <xf numFmtId="0" fontId="5" fillId="0" borderId="0" applyAlignment="1">
      <alignment horizontal="left" vertical="top"/>
    </xf>
    <xf numFmtId="0" fontId="5" fillId="0" borderId="0" applyAlignment="1">
      <alignment horizontal="right" vertical="top"/>
    </xf>
    <xf numFmtId="0" fontId="5" fillId="0" borderId="0" applyAlignment="1">
      <alignment horizontal="right" vertical="top"/>
    </xf>
    <xf numFmtId="0" fontId="5" fillId="0" borderId="0" applyAlignment="1">
      <alignment horizontal="left" vertical="top"/>
    </xf>
    <xf numFmtId="0" fontId="5" fillId="3" borderId="0" applyAlignment="1">
      <alignment horizontal="left" vertical="top"/>
    </xf>
    <xf numFmtId="0" fontId="5" fillId="0" borderId="0" applyAlignment="1">
      <alignment horizontal="left" vertical="top"/>
    </xf>
    <xf numFmtId="0" fontId="8" fillId="0" borderId="0" applyAlignment="1">
      <alignment horizontal="right" vertical="center"/>
    </xf>
    <xf numFmtId="0" fontId="9" fillId="4" borderId="0" applyAlignment="1">
      <alignment horizontal="left" vertical="top"/>
    </xf>
    <xf numFmtId="0" fontId="5" fillId="0" borderId="0" applyAlignment="1">
      <alignment horizontal="right" vertical="top"/>
    </xf>
    <xf numFmtId="0" fontId="5" fillId="0" borderId="0" applyAlignment="1">
      <alignment horizontal="right" vertical="top"/>
    </xf>
    <xf numFmtId="0" fontId="5" fillId="0" borderId="0" applyAlignment="1">
      <alignment horizontal="right" vertical="top"/>
    </xf>
    <xf numFmtId="0" fontId="5" fillId="0" borderId="0" applyAlignment="1">
      <alignment horizontal="left" vertical="top"/>
    </xf>
    <xf numFmtId="0" fontId="5" fillId="0" borderId="0" applyAlignment="1">
      <alignment horizontal="left" vertical="top"/>
    </xf>
    <xf numFmtId="0" fontId="10" fillId="3" borderId="0" applyAlignment="1">
      <alignment horizontal="left" vertical="top"/>
    </xf>
    <xf numFmtId="0" fontId="7" fillId="0" borderId="0" applyAlignment="1">
      <alignment horizontal="right" vertical="top"/>
    </xf>
    <xf numFmtId="0" fontId="7" fillId="0" borderId="0" applyAlignment="1">
      <alignment horizontal="right" vertical="top"/>
    </xf>
    <xf numFmtId="0" fontId="11" fillId="4" borderId="0" applyAlignment="1">
      <alignment horizontal="left" vertical="top"/>
    </xf>
    <xf numFmtId="0" fontId="7" fillId="0" borderId="0" applyAlignment="1">
      <alignment horizontal="right" vertical="top"/>
    </xf>
    <xf numFmtId="0" fontId="11" fillId="0" borderId="0" applyAlignment="1">
      <alignment horizontal="left" vertical="top"/>
    </xf>
    <xf numFmtId="0" fontId="5" fillId="0" borderId="0" applyAlignment="1">
      <alignment horizontal="right" vertical="center"/>
    </xf>
    <xf numFmtId="0" fontId="12" fillId="4" borderId="0" applyAlignment="1">
      <alignment horizontal="justify"/>
    </xf>
    <xf numFmtId="0" fontId="13" fillId="5" borderId="0" applyAlignment="1">
      <alignment horizontal="left" vertical="top"/>
    </xf>
    <xf numFmtId="0" fontId="12" fillId="0" borderId="0" applyAlignment="1">
      <alignment horizontal="justify"/>
    </xf>
    <xf numFmtId="0" fontId="11" fillId="0" borderId="0" applyAlignment="1">
      <alignment horizontal="left" vertical="top"/>
    </xf>
    <xf numFmtId="0" fontId="14" fillId="0" borderId="0" applyAlignment="1">
      <alignment horizontal="center" vertical="center"/>
    </xf>
    <xf numFmtId="0" fontId="14" fillId="0" borderId="0" applyAlignment="1">
      <alignment horizontal="justify" vertical="center"/>
    </xf>
    <xf numFmtId="0" fontId="9" fillId="0" borderId="0" applyAlignment="1">
      <alignment horizontal="left" vertical="top"/>
    </xf>
    <xf numFmtId="0" fontId="15" fillId="5" borderId="0" applyAlignment="1">
      <alignment horizontal="left" vertical="top"/>
    </xf>
    <xf numFmtId="0" fontId="13" fillId="0" borderId="0" applyAlignment="1">
      <alignment horizontal="left" vertical="top"/>
    </xf>
    <xf numFmtId="0" fontId="7" fillId="0" borderId="0" applyAlignment="1">
      <alignment horizontal="right" vertical="top"/>
    </xf>
    <xf numFmtId="0" fontId="10" fillId="3" borderId="0" applyAlignment="1">
      <alignment horizontal="left" vertical="top"/>
    </xf>
    <xf numFmtId="43" fontId="1" fillId="0" borderId="0"/>
    <xf numFmtId="0" fontId="5" fillId="3" borderId="0" applyAlignment="1">
      <alignment horizontal="left" vertical="top"/>
    </xf>
    <xf numFmtId="0" fontId="5" fillId="0" borderId="0" applyAlignment="1">
      <alignment horizontal="left" vertical="top"/>
    </xf>
    <xf numFmtId="0" fontId="10" fillId="3" borderId="0" applyAlignment="1">
      <alignment horizontal="left" vertical="top"/>
    </xf>
    <xf numFmtId="0" fontId="7" fillId="0" borderId="0" applyAlignment="1">
      <alignment horizontal="right" vertical="top"/>
    </xf>
    <xf numFmtId="0" fontId="17" fillId="0" borderId="0" applyAlignment="1">
      <alignment horizontal="left" vertical="top" wrapText="1"/>
    </xf>
    <xf numFmtId="0" fontId="1" fillId="0" borderId="0"/>
    <xf numFmtId="0" fontId="17" fillId="0" borderId="0" applyAlignment="1">
      <alignment horizontal="left" vertical="top" wrapText="1"/>
    </xf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1" fillId="0" borderId="0" pivotButton="0" quotePrefix="0" xfId="0"/>
    <xf numFmtId="0" fontId="4" fillId="2" borderId="0" applyAlignment="1" pivotButton="0" quotePrefix="0" xfId="0">
      <alignment horizontal="right" vertical="center"/>
    </xf>
    <xf numFmtId="14" fontId="4" fillId="2" borderId="0" applyAlignment="1" pivotButton="0" quotePrefix="0" xfId="0">
      <alignment horizontal="right" vertical="center"/>
    </xf>
    <xf numFmtId="0" fontId="4" fillId="2" borderId="0" applyAlignment="1" pivotButton="0" quotePrefix="0" xfId="0">
      <alignment vertical="center"/>
    </xf>
    <xf numFmtId="1" fontId="4" fillId="2" borderId="0" applyAlignment="1" pivotButton="0" quotePrefix="0" xfId="43">
      <alignment vertical="center"/>
    </xf>
    <xf numFmtId="4" fontId="4" fillId="2" borderId="0" applyAlignment="1" pivotButton="0" quotePrefix="0" xfId="0">
      <alignment horizontal="right" vertical="center"/>
    </xf>
    <xf numFmtId="0" fontId="0" fillId="2" borderId="0" applyAlignment="1" pivotButton="0" quotePrefix="0" xfId="0">
      <alignment vertical="center"/>
    </xf>
    <xf numFmtId="14" fontId="0" fillId="2" borderId="0" applyAlignment="1" pivotButton="0" quotePrefix="0" xfId="0">
      <alignment vertical="center"/>
    </xf>
    <xf numFmtId="0" fontId="0" fillId="2" borderId="0" applyAlignment="1" pivotButton="0" quotePrefix="0" xfId="0">
      <alignment horizontal="left" vertical="center"/>
    </xf>
    <xf numFmtId="1" fontId="0" fillId="2" borderId="0" applyAlignment="1" pivotButton="0" quotePrefix="0" xfId="43">
      <alignment vertical="center"/>
    </xf>
    <xf numFmtId="4" fontId="0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14" fontId="2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center"/>
    </xf>
    <xf numFmtId="1" fontId="2" fillId="2" borderId="0" applyAlignment="1" pivotButton="0" quotePrefix="0" xfId="43">
      <alignment vertical="center"/>
    </xf>
    <xf numFmtId="4" fontId="2" fillId="2" borderId="0" applyAlignment="1" pivotButton="0" quotePrefix="0" xfId="0">
      <alignment vertical="center"/>
    </xf>
    <xf numFmtId="4" fontId="4" fillId="0" borderId="0" applyAlignment="1" pivotButton="0" quotePrefix="0" xfId="0">
      <alignment horizontal="right" vertical="center"/>
    </xf>
    <xf numFmtId="4" fontId="0" fillId="0" borderId="0" pivotButton="0" quotePrefix="0" xfId="0"/>
    <xf numFmtId="164" fontId="3" fillId="0" borderId="0" applyAlignment="1" pivotButton="0" quotePrefix="0" xfId="0">
      <alignment horizontal="right"/>
    </xf>
    <xf numFmtId="4" fontId="2" fillId="0" borderId="0" pivotButton="0" quotePrefix="0" xfId="0"/>
    <xf numFmtId="164" fontId="4" fillId="0" borderId="0" applyAlignment="1" pivotButton="0" quotePrefix="0" xfId="0">
      <alignment horizontal="right"/>
    </xf>
    <xf numFmtId="4" fontId="4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vertical="center"/>
    </xf>
    <xf numFmtId="14" fontId="1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left" vertical="center"/>
    </xf>
    <xf numFmtId="1" fontId="1" fillId="2" borderId="0" applyAlignment="1" pivotButton="0" quotePrefix="0" xfId="0">
      <alignment vertical="center"/>
    </xf>
    <xf numFmtId="4" fontId="1" fillId="2" borderId="0" applyAlignment="1" pivotButton="0" quotePrefix="0" xfId="0">
      <alignment vertical="center"/>
    </xf>
  </cellXfs>
  <cellStyles count="51">
    <cellStyle name="Normal" xfId="0" builtinId="0"/>
    <cellStyle name="Standard 5" xfId="1"/>
    <cellStyle name="S31" xfId="2"/>
    <cellStyle name="Standard 3 2" xfId="3"/>
    <cellStyle name="S9" xfId="4"/>
    <cellStyle name="S10" xfId="5"/>
    <cellStyle name="S32" xfId="6"/>
    <cellStyle name="S33" xfId="7"/>
    <cellStyle name="S34" xfId="8"/>
    <cellStyle name="S30" xfId="9"/>
    <cellStyle name="S27" xfId="10"/>
    <cellStyle name="S28" xfId="11"/>
    <cellStyle name="S29" xfId="12"/>
    <cellStyle name="S25" xfId="13"/>
    <cellStyle name="S26" xfId="14"/>
    <cellStyle name="S11" xfId="15"/>
    <cellStyle name="S24" xfId="16"/>
    <cellStyle name="S12" xfId="17"/>
    <cellStyle name="S0" xfId="18"/>
    <cellStyle name="S1" xfId="19"/>
    <cellStyle name="S12 2" xfId="20"/>
    <cellStyle name="S13" xfId="21"/>
    <cellStyle name="S14" xfId="22"/>
    <cellStyle name="S15" xfId="23"/>
    <cellStyle name="S16" xfId="24"/>
    <cellStyle name="S17" xfId="25"/>
    <cellStyle name="S18" xfId="26"/>
    <cellStyle name="S19" xfId="27"/>
    <cellStyle name="S2" xfId="28"/>
    <cellStyle name="S20" xfId="29"/>
    <cellStyle name="S21" xfId="30"/>
    <cellStyle name="S22" xfId="31"/>
    <cellStyle name="S23" xfId="32"/>
    <cellStyle name="S24 2" xfId="33"/>
    <cellStyle name="S3" xfId="34"/>
    <cellStyle name="S35" xfId="35"/>
    <cellStyle name="S4" xfId="36"/>
    <cellStyle name="S5" xfId="37"/>
    <cellStyle name="S6" xfId="38"/>
    <cellStyle name="S7" xfId="39"/>
    <cellStyle name="S8" xfId="40"/>
    <cellStyle name="S17 2" xfId="41"/>
    <cellStyle name="S20 2" xfId="42"/>
    <cellStyle name="Comma" xfId="43" builtinId="3"/>
    <cellStyle name="S24 3" xfId="44"/>
    <cellStyle name="S12 3" xfId="45"/>
    <cellStyle name="S17 3" xfId="46"/>
    <cellStyle name="S20 3" xfId="47"/>
    <cellStyle name="Normal 3" xfId="48"/>
    <cellStyle name="Normal 2" xfId="49"/>
    <cellStyle name="Normal 4" xfId="5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23">
    <outlinePr summaryBelow="1" summaryRight="1"/>
    <pageSetUpPr/>
  </sheetPr>
  <dimension ref="A1:M241"/>
  <sheetViews>
    <sheetView showGridLines="0" tabSelected="1" zoomScaleNormal="100" workbookViewId="0">
      <selection activeCell="A1" sqref="A1"/>
    </sheetView>
  </sheetViews>
  <sheetFormatPr baseColWidth="8" defaultColWidth="8.21875" defaultRowHeight="14.4"/>
  <cols>
    <col width="10" bestFit="1" customWidth="1" style="1" min="1" max="1"/>
    <col width="10.5546875" bestFit="1" customWidth="1" style="1" min="2" max="2"/>
    <col width="19.21875" bestFit="1" customWidth="1" style="1" min="3" max="3"/>
    <col width="66.33203125" bestFit="1" customWidth="1" style="1" min="4" max="4"/>
    <col width="12" bestFit="1" customWidth="1" style="1" min="5" max="5"/>
    <col width="9" bestFit="1" customWidth="1" style="1" min="6" max="6"/>
    <col width="8" bestFit="1" customWidth="1" style="1" min="7" max="7"/>
    <col width="5.6640625" bestFit="1" customWidth="1" style="1" min="8" max="8"/>
    <col width="45" bestFit="1" customWidth="1" style="1" min="9" max="9"/>
    <col width="9.6640625" bestFit="1" customWidth="1" style="1" min="10" max="10"/>
    <col width="8.109375" bestFit="1" customWidth="1" style="1" min="11" max="11"/>
    <col width="12.21875" bestFit="1" customWidth="1" style="1" min="12" max="12"/>
    <col width="4.5546875" bestFit="1" customWidth="1" style="4" min="13" max="13"/>
    <col width="8.21875" customWidth="1" style="1" min="14" max="16384"/>
  </cols>
  <sheetData>
    <row r="1" customFormat="1" s="3">
      <c r="A1" s="5" t="inlineStr">
        <is>
          <t>Nº Asiento</t>
        </is>
      </c>
      <c r="B1" s="6" t="inlineStr">
        <is>
          <t>Fecha</t>
        </is>
      </c>
      <c r="C1" s="7" t="inlineStr">
        <is>
          <t>Documento</t>
        </is>
      </c>
      <c r="D1" s="7" t="inlineStr">
        <is>
          <t>Concepto</t>
        </is>
      </c>
      <c r="E1" s="8" t="inlineStr">
        <is>
          <t>Cuenta</t>
        </is>
      </c>
      <c r="F1" s="9" t="inlineStr">
        <is>
          <t>Debe</t>
        </is>
      </c>
      <c r="G1" s="9" t="inlineStr">
        <is>
          <t>Haber</t>
        </is>
      </c>
      <c r="H1" s="9" t="inlineStr">
        <is>
          <t>Saldo</t>
        </is>
      </c>
      <c r="I1" s="25" t="inlineStr">
        <is>
          <t>Nombre cuenta</t>
        </is>
      </c>
      <c r="J1" s="20" t="inlineStr">
        <is>
          <t>Neto</t>
        </is>
      </c>
      <c r="K1" s="20" t="inlineStr">
        <is>
          <t>Mes</t>
        </is>
      </c>
      <c r="L1" s="20" t="inlineStr">
        <is>
          <t>Tipo de gasto</t>
        </is>
      </c>
      <c r="M1" s="20" t="inlineStr">
        <is>
          <t>END</t>
        </is>
      </c>
    </row>
    <row r="2">
      <c r="A2" s="10" t="n">
        <v>3</v>
      </c>
      <c r="B2" s="11" t="n">
        <v>45658</v>
      </c>
      <c r="C2" s="12" t="inlineStr"/>
      <c r="D2" s="10" t="inlineStr">
        <is>
          <t>SEGUROS CAIXABANK 9463</t>
        </is>
      </c>
      <c r="E2" s="13" t="n">
        <v>625</v>
      </c>
      <c r="F2" s="14" t="n">
        <v>50.78312034666991</v>
      </c>
      <c r="G2" s="14" t="n">
        <v>0</v>
      </c>
      <c r="H2" s="14" t="n">
        <v>0</v>
      </c>
      <c r="I2" s="14" t="inlineStr">
        <is>
          <t>PRIMAS DE SEGUROS</t>
        </is>
      </c>
      <c r="J2" s="21">
        <f>G2-F2</f>
        <v/>
      </c>
      <c r="K2" s="22">
        <f>EOMONTH(B2,0)</f>
        <v/>
      </c>
      <c r="L2" s="22" t="inlineStr">
        <is>
          <t>Admin</t>
        </is>
      </c>
      <c r="M2" s="21" t="n"/>
    </row>
    <row r="3">
      <c r="A3" s="10" t="n">
        <v>4</v>
      </c>
      <c r="B3" s="11" t="n">
        <v>45658</v>
      </c>
      <c r="C3" s="12" t="inlineStr"/>
      <c r="D3" s="10" t="inlineStr">
        <is>
          <t>COMISIONES CAIXABANK 9463</t>
        </is>
      </c>
      <c r="E3" s="13" t="n">
        <v>626</v>
      </c>
      <c r="F3" s="14" t="n">
        <v>18.60643098602452</v>
      </c>
      <c r="G3" s="14" t="n">
        <v>0</v>
      </c>
      <c r="H3" s="14" t="n">
        <v>0</v>
      </c>
      <c r="I3" s="14" t="inlineStr">
        <is>
          <t>SERVICIOS BANCARIOS Y SIMILARES</t>
        </is>
      </c>
      <c r="J3" s="21">
        <f>G3-F3</f>
        <v/>
      </c>
      <c r="K3" s="22">
        <f>EOMONTH(B3,0)</f>
        <v/>
      </c>
      <c r="L3" s="22" t="inlineStr">
        <is>
          <t>Admin</t>
        </is>
      </c>
      <c r="M3" s="21" t="n"/>
    </row>
    <row r="4">
      <c r="A4" s="10" t="n">
        <v>5</v>
      </c>
      <c r="B4" s="11" t="n">
        <v>45658</v>
      </c>
      <c r="C4" s="12" t="inlineStr"/>
      <c r="D4" s="10" t="inlineStr">
        <is>
          <t>COMISIONES CAIXABANK 9463</t>
        </is>
      </c>
      <c r="E4" s="13" t="n">
        <v>626</v>
      </c>
      <c r="F4" s="14" t="n">
        <v>2.651482133451632</v>
      </c>
      <c r="G4" s="14" t="n">
        <v>0</v>
      </c>
      <c r="H4" s="14" t="n">
        <v>0</v>
      </c>
      <c r="I4" s="14" t="inlineStr">
        <is>
          <t>SERVICIOS BANCARIOS Y SIMILARES</t>
        </is>
      </c>
      <c r="J4" s="21">
        <f>G4-F4</f>
        <v/>
      </c>
      <c r="K4" s="22">
        <f>EOMONTH(B4,0)</f>
        <v/>
      </c>
      <c r="L4" s="22" t="inlineStr">
        <is>
          <t>Admin</t>
        </is>
      </c>
      <c r="M4" s="21" t="n"/>
    </row>
    <row r="5">
      <c r="A5" s="10" t="n">
        <v>6</v>
      </c>
      <c r="B5" s="11" t="n">
        <v>45658</v>
      </c>
      <c r="C5" s="12" t="inlineStr"/>
      <c r="D5" s="10" t="inlineStr">
        <is>
          <t>DEV COMISIONES CAIXABANK 9463</t>
        </is>
      </c>
      <c r="E5" s="13" t="n">
        <v>626</v>
      </c>
      <c r="F5" s="14" t="n">
        <v>-5.972571871154554</v>
      </c>
      <c r="G5" s="14" t="n">
        <v>0</v>
      </c>
      <c r="H5" s="14" t="n">
        <v>0</v>
      </c>
      <c r="I5" s="14" t="inlineStr">
        <is>
          <t>SERVICIOS BANCARIOS Y SIMILARES</t>
        </is>
      </c>
      <c r="J5" s="21">
        <f>G5-F5</f>
        <v/>
      </c>
      <c r="K5" s="22">
        <f>EOMONTH(B5,0)</f>
        <v/>
      </c>
      <c r="L5" s="22" t="inlineStr">
        <is>
          <t>Admin</t>
        </is>
      </c>
      <c r="M5" s="21" t="n"/>
    </row>
    <row r="6">
      <c r="A6" s="10" t="n">
        <v>7</v>
      </c>
      <c r="B6" s="11" t="n">
        <v>45658</v>
      </c>
      <c r="C6" s="12" t="inlineStr"/>
      <c r="D6" s="10" t="inlineStr">
        <is>
          <t>DEV COMISIONES CAIXABANK 9463</t>
        </is>
      </c>
      <c r="E6" s="13" t="n">
        <v>626</v>
      </c>
      <c r="F6" s="14" t="n">
        <v>-15.64789652353761</v>
      </c>
      <c r="G6" s="14" t="n">
        <v>0</v>
      </c>
      <c r="H6" s="14" t="n">
        <v>0</v>
      </c>
      <c r="I6" s="14" t="inlineStr">
        <is>
          <t>SERVICIOS BANCARIOS Y SIMILARES</t>
        </is>
      </c>
      <c r="J6" s="21">
        <f>G6-F6</f>
        <v/>
      </c>
      <c r="K6" s="22">
        <f>EOMONTH(B6,0)</f>
        <v/>
      </c>
      <c r="L6" s="22" t="inlineStr">
        <is>
          <t>Admin</t>
        </is>
      </c>
      <c r="M6" s="21" t="n"/>
    </row>
    <row r="7">
      <c r="A7" s="10" t="n">
        <v>8</v>
      </c>
      <c r="B7" s="11" t="n">
        <v>45658</v>
      </c>
      <c r="C7" s="12" t="inlineStr">
        <is>
          <t>0091</t>
        </is>
      </c>
      <c r="D7" s="10" t="inlineStr">
        <is>
          <t>S/FRA. Nº 0091 BERENGUELA &amp; TAXES, S.L.</t>
        </is>
      </c>
      <c r="E7" s="13" t="n">
        <v>62900000000</v>
      </c>
      <c r="F7" s="14" t="n">
        <v>7.297182239389058</v>
      </c>
      <c r="G7" s="14" t="n">
        <v>0</v>
      </c>
      <c r="H7" s="14" t="n">
        <v>0</v>
      </c>
      <c r="I7" s="14" t="inlineStr">
        <is>
          <t>OTROS SERVICIOS</t>
        </is>
      </c>
      <c r="J7" s="21">
        <f>G7-F7</f>
        <v/>
      </c>
      <c r="K7" s="22">
        <f>EOMONTH(B7,0)</f>
        <v/>
      </c>
      <c r="L7" s="22" t="inlineStr">
        <is>
          <t>Admin</t>
        </is>
      </c>
      <c r="M7" s="21" t="n"/>
    </row>
    <row r="8">
      <c r="A8" s="10" t="n">
        <v>9</v>
      </c>
      <c r="B8" s="11" t="n">
        <v>45658</v>
      </c>
      <c r="C8" s="12" t="inlineStr">
        <is>
          <t>7950</t>
        </is>
      </c>
      <c r="D8" s="10" t="inlineStr">
        <is>
          <t>S/FRA. Nº 7950 MAXI MOBILITY SPAIN SL</t>
        </is>
      </c>
      <c r="E8" s="13" t="n">
        <v>62900000000</v>
      </c>
      <c r="F8" s="14" t="n">
        <v>19.32269553433757</v>
      </c>
      <c r="G8" s="14" t="n">
        <v>0</v>
      </c>
      <c r="H8" s="14" t="n">
        <v>0</v>
      </c>
      <c r="I8" s="14" t="inlineStr">
        <is>
          <t>OTROS SERVICIOS</t>
        </is>
      </c>
      <c r="J8" s="21">
        <f>G8-F8</f>
        <v/>
      </c>
      <c r="K8" s="22">
        <f>EOMONTH(B8,0)</f>
        <v/>
      </c>
      <c r="L8" s="22" t="inlineStr">
        <is>
          <t>Other</t>
        </is>
      </c>
      <c r="M8" s="21" t="n"/>
    </row>
    <row r="9">
      <c r="A9" s="10" t="n">
        <v>10</v>
      </c>
      <c r="B9" s="11" t="n">
        <v>45658</v>
      </c>
      <c r="C9" s="12" t="inlineStr">
        <is>
          <t>5035</t>
        </is>
      </c>
      <c r="D9" s="10" t="inlineStr">
        <is>
          <t>S/FRA. Nº 5035 MAXI MOBILITY SPAIN SL</t>
        </is>
      </c>
      <c r="E9" s="13" t="n">
        <v>62900000000</v>
      </c>
      <c r="F9" s="14" t="n">
        <v>3.658955591778247</v>
      </c>
      <c r="G9" s="14" t="n">
        <v>0</v>
      </c>
      <c r="H9" s="14" t="n">
        <v>0</v>
      </c>
      <c r="I9" s="14" t="inlineStr">
        <is>
          <t>OTROS SERVICIOS</t>
        </is>
      </c>
      <c r="J9" s="21">
        <f>G9-F9</f>
        <v/>
      </c>
      <c r="K9" s="22">
        <f>EOMONTH(B9,0)</f>
        <v/>
      </c>
      <c r="L9" s="22" t="inlineStr">
        <is>
          <t>Other</t>
        </is>
      </c>
      <c r="M9" s="21" t="n"/>
    </row>
    <row r="10">
      <c r="A10" s="10" t="n">
        <v>11</v>
      </c>
      <c r="B10" s="11" t="n">
        <v>45659</v>
      </c>
      <c r="C10" s="12" t="inlineStr">
        <is>
          <t>0001</t>
        </is>
      </c>
      <c r="D10" s="10" t="inlineStr">
        <is>
          <t>S/FRA. Nº 0001 LA FABRICA COWORKING SL</t>
        </is>
      </c>
      <c r="E10" s="13" t="n">
        <v>621</v>
      </c>
      <c r="F10" s="14" t="n">
        <v>1243.438572952219</v>
      </c>
      <c r="G10" s="14" t="n">
        <v>0</v>
      </c>
      <c r="H10" s="14" t="n">
        <v>0</v>
      </c>
      <c r="I10" s="14" t="inlineStr">
        <is>
          <t>ARRENDAMIENTOS Y CANONES</t>
        </is>
      </c>
      <c r="J10" s="21">
        <f>G10-F10</f>
        <v/>
      </c>
      <c r="K10" s="22">
        <f>EOMONTH(B10,0)</f>
        <v/>
      </c>
      <c r="L10" s="22" t="inlineStr">
        <is>
          <t>Admin</t>
        </is>
      </c>
      <c r="M10" s="21" t="n"/>
    </row>
    <row r="11">
      <c r="A11" s="10" t="n">
        <v>12</v>
      </c>
      <c r="B11" s="11" t="n">
        <v>45664</v>
      </c>
      <c r="C11" s="12" t="inlineStr">
        <is>
          <t>0004</t>
        </is>
      </c>
      <c r="D11" s="10" t="inlineStr">
        <is>
          <t>S/FRA. Nº 0004 SHIFT TECHNOLOGIES INC</t>
        </is>
      </c>
      <c r="E11" s="13" t="n">
        <v>62900000000</v>
      </c>
      <c r="F11" s="14" t="n">
        <v>15.91057468548831</v>
      </c>
      <c r="G11" s="14" t="n">
        <v>0</v>
      </c>
      <c r="H11" s="14" t="n">
        <v>0</v>
      </c>
      <c r="I11" s="14" t="inlineStr">
        <is>
          <t>OTROS SERVICIOS</t>
        </is>
      </c>
      <c r="J11" s="21">
        <f>G11-F11</f>
        <v/>
      </c>
      <c r="K11" s="22">
        <f>EOMONTH(B11,0)</f>
        <v/>
      </c>
      <c r="L11" s="22" t="inlineStr">
        <is>
          <t>IT</t>
        </is>
      </c>
      <c r="M11" s="21" t="n"/>
    </row>
    <row r="12">
      <c r="A12" s="10" t="n">
        <v>15</v>
      </c>
      <c r="B12" s="11" t="n">
        <v>45662</v>
      </c>
      <c r="C12" s="12" t="inlineStr">
        <is>
          <t>0001</t>
        </is>
      </c>
      <c r="D12" s="10" t="inlineStr">
        <is>
          <t>S/FRA. Nº 0001 GONZALO REY ABELAIRA</t>
        </is>
      </c>
      <c r="E12" s="13" t="n">
        <v>62900000000</v>
      </c>
      <c r="F12" s="14" t="n">
        <v>82.00386845702178</v>
      </c>
      <c r="G12" s="14" t="n">
        <v>0</v>
      </c>
      <c r="H12" s="14" t="n">
        <v>0</v>
      </c>
      <c r="I12" s="14" t="inlineStr">
        <is>
          <t>OTROS SERVICIOS</t>
        </is>
      </c>
      <c r="J12" s="21">
        <f>G12-F12</f>
        <v/>
      </c>
      <c r="K12" s="22">
        <f>EOMONTH(B12,0)</f>
        <v/>
      </c>
      <c r="L12" s="22" t="inlineStr">
        <is>
          <t>Sales</t>
        </is>
      </c>
      <c r="M12" s="21" t="n"/>
    </row>
    <row r="13">
      <c r="A13" s="10" t="n">
        <v>16</v>
      </c>
      <c r="B13" s="11" t="n">
        <v>45672</v>
      </c>
      <c r="C13" s="12" t="inlineStr">
        <is>
          <t>3991</t>
        </is>
      </c>
      <c r="D13" s="10" t="inlineStr">
        <is>
          <t>S/FRA. Nº 3991 SHIFT TECHNOLOGIES INC</t>
        </is>
      </c>
      <c r="E13" s="13" t="n">
        <v>62900000000</v>
      </c>
      <c r="F13" s="14" t="n">
        <v>0.7976248536252395</v>
      </c>
      <c r="G13" s="14" t="n">
        <v>0</v>
      </c>
      <c r="H13" s="14" t="n">
        <v>0</v>
      </c>
      <c r="I13" s="14" t="inlineStr">
        <is>
          <t>OTROS SERVICIOS</t>
        </is>
      </c>
      <c r="J13" s="21">
        <f>G13-F13</f>
        <v/>
      </c>
      <c r="K13" s="22">
        <f>EOMONTH(B13,0)</f>
        <v/>
      </c>
      <c r="L13" s="22" t="inlineStr">
        <is>
          <t>IT</t>
        </is>
      </c>
      <c r="M13" s="21" t="n"/>
    </row>
    <row r="14">
      <c r="A14" s="10" t="n">
        <v>19</v>
      </c>
      <c r="B14" s="11" t="n">
        <v>45675</v>
      </c>
      <c r="C14" s="12" t="inlineStr">
        <is>
          <t>3000</t>
        </is>
      </c>
      <c r="D14" s="10" t="inlineStr">
        <is>
          <t>S/FRA. Nº 3000 LOGMEIN IRELAND UNLIMETED COMPANY</t>
        </is>
      </c>
      <c r="E14" s="13" t="n">
        <v>62900000000</v>
      </c>
      <c r="F14" s="14" t="n">
        <v>70.49222971251989</v>
      </c>
      <c r="G14" s="14" t="n">
        <v>0</v>
      </c>
      <c r="H14" s="14" t="n">
        <v>0</v>
      </c>
      <c r="I14" s="14" t="inlineStr">
        <is>
          <t>OTROS SERVICIOS</t>
        </is>
      </c>
      <c r="J14" s="21">
        <f>G14-F14</f>
        <v/>
      </c>
      <c r="K14" s="22">
        <f>EOMONTH(B14,0)</f>
        <v/>
      </c>
      <c r="L14" s="22" t="inlineStr">
        <is>
          <t>IT</t>
        </is>
      </c>
      <c r="M14" s="21" t="n"/>
    </row>
    <row r="15">
      <c r="A15" s="10" t="n">
        <v>21</v>
      </c>
      <c r="B15" s="11" t="n">
        <v>45676</v>
      </c>
      <c r="C15" s="12" t="inlineStr">
        <is>
          <t>TICKET</t>
        </is>
      </c>
      <c r="D15" s="10" t="inlineStr">
        <is>
          <t>S/FRA. Nº TICKET ACREEDORES POR PRESTACIÓN DE SERVICIOS</t>
        </is>
      </c>
      <c r="E15" s="13" t="n">
        <v>62900000000</v>
      </c>
      <c r="F15" s="14" t="n">
        <v>16.43338905186024</v>
      </c>
      <c r="G15" s="14" t="n">
        <v>0</v>
      </c>
      <c r="H15" s="14" t="n">
        <v>0</v>
      </c>
      <c r="I15" s="14" t="inlineStr">
        <is>
          <t>OTROS SERVICIOS</t>
        </is>
      </c>
      <c r="J15" s="21">
        <f>G15-F15</f>
        <v/>
      </c>
      <c r="K15" s="22">
        <f>EOMONTH(B15,0)</f>
        <v/>
      </c>
      <c r="L15" s="22" t="inlineStr">
        <is>
          <t>Admin</t>
        </is>
      </c>
      <c r="M15" s="21" t="n"/>
    </row>
    <row r="16">
      <c r="A16" s="10" t="n">
        <v>22</v>
      </c>
      <c r="B16" s="11" t="n">
        <v>45676</v>
      </c>
      <c r="C16" s="12" t="inlineStr">
        <is>
          <t>3201</t>
        </is>
      </c>
      <c r="D16" s="10" t="inlineStr">
        <is>
          <t>S/FRA. Nº 3201 ACREEDORES POR PRESTACIÓN DE SERVICIOS</t>
        </is>
      </c>
      <c r="E16" s="13" t="n">
        <v>62900000000</v>
      </c>
      <c r="F16" s="14" t="n">
        <v>4.123062424050717</v>
      </c>
      <c r="G16" s="14" t="n">
        <v>0</v>
      </c>
      <c r="H16" s="14" t="n">
        <v>0</v>
      </c>
      <c r="I16" s="14" t="inlineStr">
        <is>
          <t>OTROS SERVICIOS</t>
        </is>
      </c>
      <c r="J16" s="21">
        <f>G16-F16</f>
        <v/>
      </c>
      <c r="K16" s="22">
        <f>EOMONTH(B16,0)</f>
        <v/>
      </c>
      <c r="L16" s="22" t="inlineStr">
        <is>
          <t>Admin</t>
        </is>
      </c>
      <c r="M16" s="21" t="n"/>
    </row>
    <row r="17">
      <c r="A17" s="10" t="n">
        <v>23</v>
      </c>
      <c r="B17" s="11" t="n">
        <v>45682</v>
      </c>
      <c r="C17" s="12" t="inlineStr">
        <is>
          <t>B6RN</t>
        </is>
      </c>
      <c r="D17" s="10" t="inlineStr">
        <is>
          <t>S/FRA. Nº B6RN MICROSOFT IRLAND OPERATIONS LTD</t>
        </is>
      </c>
      <c r="E17" s="13" t="n">
        <v>62900000000</v>
      </c>
      <c r="F17" s="14" t="n">
        <v>2.058447234448553</v>
      </c>
      <c r="G17" s="14" t="n">
        <v>0</v>
      </c>
      <c r="H17" s="14" t="n">
        <v>0</v>
      </c>
      <c r="I17" s="14" t="inlineStr">
        <is>
          <t>OTROS SERVICIOS</t>
        </is>
      </c>
      <c r="J17" s="21">
        <f>G17-F17</f>
        <v/>
      </c>
      <c r="K17" s="22">
        <f>EOMONTH(B17,0)</f>
        <v/>
      </c>
      <c r="L17" s="22" t="inlineStr">
        <is>
          <t>IT</t>
        </is>
      </c>
      <c r="M17" s="21" t="n"/>
    </row>
    <row r="18">
      <c r="A18" s="10" t="n">
        <v>24</v>
      </c>
      <c r="B18" s="11" t="n">
        <v>45683</v>
      </c>
      <c r="C18" s="12" t="inlineStr">
        <is>
          <t>0888</t>
        </is>
      </c>
      <c r="D18" s="10" t="inlineStr">
        <is>
          <t>S/FRA. Nº 0888 ALCAMPO SA</t>
        </is>
      </c>
      <c r="E18" s="13" t="n">
        <v>62900000000</v>
      </c>
      <c r="F18" s="14" t="n">
        <v>6.797641231546673</v>
      </c>
      <c r="G18" s="14" t="n">
        <v>0</v>
      </c>
      <c r="H18" s="14" t="n">
        <v>0</v>
      </c>
      <c r="I18" s="14" t="inlineStr">
        <is>
          <t>OTROS SERVICIOS</t>
        </is>
      </c>
      <c r="J18" s="21">
        <f>G18-F18</f>
        <v/>
      </c>
      <c r="K18" s="22">
        <f>EOMONTH(B18,0)</f>
        <v/>
      </c>
      <c r="L18" s="22" t="inlineStr">
        <is>
          <t>Admin</t>
        </is>
      </c>
      <c r="M18" s="21" t="n"/>
    </row>
    <row r="19">
      <c r="A19" s="10" t="n">
        <v>24</v>
      </c>
      <c r="B19" s="11" t="n">
        <v>45683</v>
      </c>
      <c r="C19" s="12" t="inlineStr">
        <is>
          <t>0888</t>
        </is>
      </c>
      <c r="D19" s="10" t="inlineStr">
        <is>
          <t>S/FRA. Nº 0888 ALCAMPO SA</t>
        </is>
      </c>
      <c r="E19" s="13" t="n">
        <v>62900000000</v>
      </c>
      <c r="F19" s="14" t="n">
        <v>97.60757834185041</v>
      </c>
      <c r="G19" s="14" t="n">
        <v>0</v>
      </c>
      <c r="H19" s="14" t="n">
        <v>0</v>
      </c>
      <c r="I19" s="14" t="inlineStr">
        <is>
          <t>OTROS SERVICIOS</t>
        </is>
      </c>
      <c r="J19" s="21">
        <f>G19-F19</f>
        <v/>
      </c>
      <c r="K19" s="22">
        <f>EOMONTH(B19,0)</f>
        <v/>
      </c>
      <c r="L19" s="22" t="inlineStr">
        <is>
          <t>Admin</t>
        </is>
      </c>
      <c r="M19" s="21" t="n"/>
    </row>
    <row r="20">
      <c r="A20" s="10" t="n">
        <v>24</v>
      </c>
      <c r="B20" s="11" t="n">
        <v>45683</v>
      </c>
      <c r="C20" s="12" t="inlineStr">
        <is>
          <t>0888</t>
        </is>
      </c>
      <c r="D20" s="10" t="inlineStr">
        <is>
          <t>S/FRA. Nº 0888 ALCAMPO SA</t>
        </is>
      </c>
      <c r="E20" s="13" t="n">
        <v>62900000000</v>
      </c>
      <c r="F20" s="14" t="n">
        <v>1.325115669205241</v>
      </c>
      <c r="G20" s="14" t="n">
        <v>0</v>
      </c>
      <c r="H20" s="14" t="n">
        <v>0</v>
      </c>
      <c r="I20" s="14" t="inlineStr">
        <is>
          <t>OTROS SERVICIOS</t>
        </is>
      </c>
      <c r="J20" s="21">
        <f>G20-F20</f>
        <v/>
      </c>
      <c r="K20" s="22">
        <f>EOMONTH(B20,0)</f>
        <v/>
      </c>
      <c r="L20" s="22" t="inlineStr">
        <is>
          <t>Admin</t>
        </is>
      </c>
      <c r="M20" s="21" t="n"/>
    </row>
    <row r="21">
      <c r="A21" s="10" t="n">
        <v>25</v>
      </c>
      <c r="B21" s="11" t="n">
        <v>45682</v>
      </c>
      <c r="C21" s="12" t="inlineStr">
        <is>
          <t>0001</t>
        </is>
      </c>
      <c r="D21" s="10" t="inlineStr">
        <is>
          <t>N/FRA. Nº 0001 PERK FINANCE SL</t>
        </is>
      </c>
      <c r="E21" s="13" t="n">
        <v>70500000000</v>
      </c>
      <c r="F21" s="14" t="n">
        <v>0</v>
      </c>
      <c r="G21" s="14" t="n">
        <v>1894.929077698065</v>
      </c>
      <c r="H21" s="14" t="n">
        <v>0</v>
      </c>
      <c r="I21" s="14" t="inlineStr">
        <is>
          <t>PRESTACIONES DE SERVICIOS</t>
        </is>
      </c>
      <c r="J21" s="21">
        <f>G21-F21</f>
        <v/>
      </c>
      <c r="K21" s="22">
        <f>EOMONTH(B21,0)</f>
        <v/>
      </c>
      <c r="L21" s="22" t="inlineStr">
        <is>
          <t>CFO</t>
        </is>
      </c>
      <c r="M21" s="21" t="n"/>
    </row>
    <row r="22">
      <c r="A22" s="10" t="n">
        <v>26</v>
      </c>
      <c r="B22" s="11" t="n">
        <v>45682</v>
      </c>
      <c r="C22" s="12" t="inlineStr">
        <is>
          <t>0002</t>
        </is>
      </c>
      <c r="D22" s="10" t="inlineStr">
        <is>
          <t>N/FRA. Nº 0002 GEOBLINK SL</t>
        </is>
      </c>
      <c r="E22" s="13" t="n">
        <v>70500000000</v>
      </c>
      <c r="F22" s="14" t="n">
        <v>0</v>
      </c>
      <c r="G22" s="14" t="n">
        <v>2637.685457775282</v>
      </c>
      <c r="H22" s="14" t="n">
        <v>0</v>
      </c>
      <c r="I22" s="14" t="inlineStr">
        <is>
          <t>PRESTACIONES DE SERVICIOS</t>
        </is>
      </c>
      <c r="J22" s="21">
        <f>G22-F22</f>
        <v/>
      </c>
      <c r="K22" s="22">
        <f>EOMONTH(B22,0)</f>
        <v/>
      </c>
      <c r="L22" s="22" t="inlineStr">
        <is>
          <t>CFO</t>
        </is>
      </c>
      <c r="M22" s="21" t="n"/>
    </row>
    <row r="23">
      <c r="A23" s="10" t="n">
        <v>27</v>
      </c>
      <c r="B23" s="11" t="n">
        <v>45682</v>
      </c>
      <c r="C23" s="12" t="inlineStr">
        <is>
          <t>0003</t>
        </is>
      </c>
      <c r="D23" s="10" t="inlineStr">
        <is>
          <t>N/FRA. Nº 0003 DINERO GELT</t>
        </is>
      </c>
      <c r="E23" s="13" t="n">
        <v>70500000000</v>
      </c>
      <c r="F23" s="14" t="n">
        <v>0</v>
      </c>
      <c r="G23" s="14" t="n">
        <v>2262.837127806044</v>
      </c>
      <c r="H23" s="14" t="n">
        <v>0</v>
      </c>
      <c r="I23" s="14" t="inlineStr">
        <is>
          <t>PRESTACIONES DE SERVICIOS</t>
        </is>
      </c>
      <c r="J23" s="21">
        <f>G23-F23</f>
        <v/>
      </c>
      <c r="K23" s="22">
        <f>EOMONTH(B23,0)</f>
        <v/>
      </c>
      <c r="L23" s="22" t="inlineStr">
        <is>
          <t>CFO</t>
        </is>
      </c>
      <c r="M23" s="21" t="n"/>
    </row>
    <row r="24">
      <c r="A24" s="10" t="n">
        <v>28</v>
      </c>
      <c r="B24" s="11" t="n">
        <v>45682</v>
      </c>
      <c r="C24" s="12" t="inlineStr">
        <is>
          <t>0004</t>
        </is>
      </c>
      <c r="D24" s="10" t="inlineStr">
        <is>
          <t>N/FRA. Nº 0004 GELT CASH TRANSFER S.L.U.</t>
        </is>
      </c>
      <c r="E24" s="13" t="n">
        <v>70500000000</v>
      </c>
      <c r="F24" s="14" t="n">
        <v>0</v>
      </c>
      <c r="G24" s="14" t="n">
        <v>371.6289065373941</v>
      </c>
      <c r="H24" s="14" t="n">
        <v>0</v>
      </c>
      <c r="I24" s="14" t="inlineStr">
        <is>
          <t>PRESTACIONES DE SERVICIOS</t>
        </is>
      </c>
      <c r="J24" s="21">
        <f>G24-F24</f>
        <v/>
      </c>
      <c r="K24" s="22">
        <f>EOMONTH(B24,0)</f>
        <v/>
      </c>
      <c r="L24" s="22" t="inlineStr">
        <is>
          <t>CFO</t>
        </is>
      </c>
      <c r="M24" s="21" t="n"/>
    </row>
    <row r="25">
      <c r="A25" s="10" t="n">
        <v>29</v>
      </c>
      <c r="B25" s="11" t="n">
        <v>45682</v>
      </c>
      <c r="C25" s="12" t="inlineStr">
        <is>
          <t>0005</t>
        </is>
      </c>
      <c r="D25" s="10" t="inlineStr">
        <is>
          <t>N/FRA. Nº 0005 PROSEGUR CUSTODIA DE ACTIVOS DIGITALES S.L.</t>
        </is>
      </c>
      <c r="E25" s="13" t="n">
        <v>70500000000</v>
      </c>
      <c r="F25" s="14" t="n">
        <v>0</v>
      </c>
      <c r="G25" s="14" t="n">
        <v>669.8610702186751</v>
      </c>
      <c r="H25" s="14" t="n">
        <v>0</v>
      </c>
      <c r="I25" s="14" t="inlineStr">
        <is>
          <t>PRESTACIONES DE SERVICIOS</t>
        </is>
      </c>
      <c r="J25" s="21">
        <f>G25-F25</f>
        <v/>
      </c>
      <c r="K25" s="22">
        <f>EOMONTH(B25,0)</f>
        <v/>
      </c>
      <c r="L25" s="22" t="inlineStr">
        <is>
          <t>CFO</t>
        </is>
      </c>
      <c r="M25" s="21" t="n"/>
    </row>
    <row r="26">
      <c r="A26" s="10" t="n">
        <v>30</v>
      </c>
      <c r="B26" s="11" t="n">
        <v>45682</v>
      </c>
      <c r="C26" s="12" t="inlineStr">
        <is>
          <t>0006</t>
        </is>
      </c>
      <c r="D26" s="10" t="inlineStr">
        <is>
          <t>N/FRA. Nº 0006 ALPHA3 CASHLABS SL.</t>
        </is>
      </c>
      <c r="E26" s="13" t="n">
        <v>70500000000</v>
      </c>
      <c r="F26" s="14" t="n">
        <v>0</v>
      </c>
      <c r="G26" s="14" t="n">
        <v>1038.847393042631</v>
      </c>
      <c r="H26" s="14" t="n">
        <v>0</v>
      </c>
      <c r="I26" s="14" t="inlineStr">
        <is>
          <t>PRESTACIONES DE SERVICIOS</t>
        </is>
      </c>
      <c r="J26" s="21">
        <f>G26-F26</f>
        <v/>
      </c>
      <c r="K26" s="22">
        <f>EOMONTH(B26,0)</f>
        <v/>
      </c>
      <c r="L26" s="22" t="inlineStr">
        <is>
          <t>CFO</t>
        </is>
      </c>
      <c r="M26" s="21" t="n"/>
    </row>
    <row r="27">
      <c r="A27" s="10" t="n">
        <v>31</v>
      </c>
      <c r="B27" s="11" t="n">
        <v>45682</v>
      </c>
      <c r="C27" s="12" t="inlineStr">
        <is>
          <t>0007</t>
        </is>
      </c>
      <c r="D27" s="10" t="inlineStr">
        <is>
          <t>N/FRA. Nº 0007 GELT BRASIL CONSLTORIA EM TECNOLOGIA DA INFORMAÇAO</t>
        </is>
      </c>
      <c r="E27" s="13" t="n">
        <v>70500000000</v>
      </c>
      <c r="F27" s="14" t="n">
        <v>0</v>
      </c>
      <c r="G27" s="14" t="n">
        <v>955.4027116623041</v>
      </c>
      <c r="H27" s="14" t="n">
        <v>0</v>
      </c>
      <c r="I27" s="14" t="inlineStr">
        <is>
          <t>PRESTACIONES DE SERVICIOS</t>
        </is>
      </c>
      <c r="J27" s="21">
        <f>G27-F27</f>
        <v/>
      </c>
      <c r="K27" s="22">
        <f>EOMONTH(B27,0)</f>
        <v/>
      </c>
      <c r="L27" s="22" t="inlineStr">
        <is>
          <t>CFO</t>
        </is>
      </c>
      <c r="M27" s="21" t="n"/>
    </row>
    <row r="28">
      <c r="A28" s="10" t="n">
        <v>32</v>
      </c>
      <c r="B28" s="11" t="n">
        <v>45682</v>
      </c>
      <c r="C28" s="12" t="inlineStr">
        <is>
          <t>0008</t>
        </is>
      </c>
      <c r="D28" s="10" t="inlineStr">
        <is>
          <t>N/FRA. Nº 0008 USIZY SL</t>
        </is>
      </c>
      <c r="E28" s="13" t="n">
        <v>70500000000</v>
      </c>
      <c r="F28" s="14" t="n">
        <v>0</v>
      </c>
      <c r="G28" s="14" t="n">
        <v>2732.984726170256</v>
      </c>
      <c r="H28" s="14" t="n">
        <v>0</v>
      </c>
      <c r="I28" s="14" t="inlineStr">
        <is>
          <t>PRESTACIONES DE SERVICIOS</t>
        </is>
      </c>
      <c r="J28" s="21">
        <f>G28-F28</f>
        <v/>
      </c>
      <c r="K28" s="22">
        <f>EOMONTH(B28,0)</f>
        <v/>
      </c>
      <c r="L28" s="22" t="inlineStr">
        <is>
          <t>CFO</t>
        </is>
      </c>
      <c r="M28" s="21" t="n"/>
    </row>
    <row r="29">
      <c r="A29" s="10" t="n">
        <v>33</v>
      </c>
      <c r="B29" s="11" t="n">
        <v>45682</v>
      </c>
      <c r="C29" s="12" t="inlineStr">
        <is>
          <t>0009</t>
        </is>
      </c>
      <c r="D29" s="10" t="inlineStr">
        <is>
          <t>N/FRA. Nº 0009 NORAREALFOOD SL</t>
        </is>
      </c>
      <c r="E29" s="13" t="n">
        <v>70500000000</v>
      </c>
      <c r="F29" s="14" t="n">
        <v>0</v>
      </c>
      <c r="G29" s="14" t="n">
        <v>2959.314565235873</v>
      </c>
      <c r="H29" s="14" t="n">
        <v>0</v>
      </c>
      <c r="I29" s="14" t="inlineStr">
        <is>
          <t>PRESTACIONES DE SERVICIOS</t>
        </is>
      </c>
      <c r="J29" s="21">
        <f>G29-F29</f>
        <v/>
      </c>
      <c r="K29" s="22">
        <f>EOMONTH(B29,0)</f>
        <v/>
      </c>
      <c r="L29" s="22" t="inlineStr">
        <is>
          <t>CFO</t>
        </is>
      </c>
      <c r="M29" s="21" t="n"/>
    </row>
    <row r="30">
      <c r="A30" s="10" t="n">
        <v>34</v>
      </c>
      <c r="B30" s="11" t="n">
        <v>45682</v>
      </c>
      <c r="C30" s="12" t="inlineStr">
        <is>
          <t>0010</t>
        </is>
      </c>
      <c r="D30" s="10" t="inlineStr">
        <is>
          <t>N/FRA. Nº 0010 IDOVEN 1903, S.L.</t>
        </is>
      </c>
      <c r="E30" s="13" t="n">
        <v>70500000000</v>
      </c>
      <c r="F30" s="14" t="n">
        <v>0</v>
      </c>
      <c r="G30" s="14" t="n">
        <v>3071.796874071893</v>
      </c>
      <c r="H30" s="14" t="n">
        <v>0</v>
      </c>
      <c r="I30" s="14" t="inlineStr">
        <is>
          <t>PRESTACIONES DE SERVICIOS</t>
        </is>
      </c>
      <c r="J30" s="21">
        <f>G30-F30</f>
        <v/>
      </c>
      <c r="K30" s="22">
        <f>EOMONTH(B30,0)</f>
        <v/>
      </c>
      <c r="L30" s="22" t="inlineStr">
        <is>
          <t>CFO</t>
        </is>
      </c>
      <c r="M30" s="21" t="n"/>
    </row>
    <row r="31">
      <c r="A31" s="10" t="n">
        <v>35</v>
      </c>
      <c r="B31" s="11" t="n">
        <v>45682</v>
      </c>
      <c r="C31" s="12" t="inlineStr">
        <is>
          <t>0011</t>
        </is>
      </c>
      <c r="D31" s="10" t="inlineStr">
        <is>
          <t>N/FRA. Nº 0011 WHEELS LABS INC</t>
        </is>
      </c>
      <c r="E31" s="13" t="n">
        <v>70500000000</v>
      </c>
      <c r="F31" s="14" t="n">
        <v>0</v>
      </c>
      <c r="G31" s="14" t="n">
        <v>533.2858089177236</v>
      </c>
      <c r="H31" s="14" t="n">
        <v>0</v>
      </c>
      <c r="I31" s="14" t="inlineStr">
        <is>
          <t>PRESTACIONES DE SERVICIOS</t>
        </is>
      </c>
      <c r="J31" s="21">
        <f>G31-F31</f>
        <v/>
      </c>
      <c r="K31" s="22">
        <f>EOMONTH(B31,0)</f>
        <v/>
      </c>
      <c r="L31" s="22" t="inlineStr">
        <is>
          <t>CFO</t>
        </is>
      </c>
      <c r="M31" s="21" t="n"/>
    </row>
    <row r="32">
      <c r="A32" s="10" t="n">
        <v>36</v>
      </c>
      <c r="B32" s="11" t="n">
        <v>45682</v>
      </c>
      <c r="C32" s="12" t="inlineStr">
        <is>
          <t>0012</t>
        </is>
      </c>
      <c r="D32" s="10" t="inlineStr">
        <is>
          <t>N/FRA. Nº 0012 ROI PERFORMANCE MEDIA S.L</t>
        </is>
      </c>
      <c r="E32" s="13" t="n">
        <v>70500000000</v>
      </c>
      <c r="F32" s="14" t="n">
        <v>0</v>
      </c>
      <c r="G32" s="14" t="n">
        <v>1713.268781157786</v>
      </c>
      <c r="H32" s="14" t="n">
        <v>0</v>
      </c>
      <c r="I32" s="14" t="inlineStr">
        <is>
          <t>PRESTACIONES DE SERVICIOS</t>
        </is>
      </c>
      <c r="J32" s="21">
        <f>G32-F32</f>
        <v/>
      </c>
      <c r="K32" s="22">
        <f>EOMONTH(B32,0)</f>
        <v/>
      </c>
      <c r="L32" s="22" t="inlineStr">
        <is>
          <t>CFO</t>
        </is>
      </c>
      <c r="M32" s="21" t="n"/>
    </row>
    <row r="33">
      <c r="A33" s="10" t="n">
        <v>38</v>
      </c>
      <c r="B33" s="11" t="n">
        <v>45682</v>
      </c>
      <c r="C33" s="12" t="inlineStr">
        <is>
          <t>0014</t>
        </is>
      </c>
      <c r="D33" s="10" t="inlineStr">
        <is>
          <t>N/FRA. Nº 0014 VALIDATED ID SL</t>
        </is>
      </c>
      <c r="E33" s="13" t="n">
        <v>70500000000</v>
      </c>
      <c r="F33" s="14" t="n">
        <v>0</v>
      </c>
      <c r="G33" s="14" t="n">
        <v>2358.096996728091</v>
      </c>
      <c r="H33" s="14" t="n">
        <v>0</v>
      </c>
      <c r="I33" s="14" t="inlineStr">
        <is>
          <t>PRESTACIONES DE SERVICIOS</t>
        </is>
      </c>
      <c r="J33" s="21">
        <f>G33-F33</f>
        <v/>
      </c>
      <c r="K33" s="22">
        <f>EOMONTH(B33,0)</f>
        <v/>
      </c>
      <c r="L33" s="22" t="inlineStr">
        <is>
          <t>CFO</t>
        </is>
      </c>
      <c r="M33" s="21" t="n"/>
    </row>
    <row r="34">
      <c r="A34" s="10" t="n">
        <v>39</v>
      </c>
      <c r="B34" s="11" t="n">
        <v>45682</v>
      </c>
      <c r="C34" s="12" t="inlineStr">
        <is>
          <t>0015</t>
        </is>
      </c>
      <c r="D34" s="10" t="inlineStr">
        <is>
          <t>N/FRA. Nº 0015 GRAPHEXT LABS, S.L.</t>
        </is>
      </c>
      <c r="E34" s="13" t="n">
        <v>70500000000</v>
      </c>
      <c r="F34" s="14" t="n">
        <v>0</v>
      </c>
      <c r="G34" s="14" t="n">
        <v>3323.528287837764</v>
      </c>
      <c r="H34" s="14" t="n">
        <v>0</v>
      </c>
      <c r="I34" s="14" t="inlineStr">
        <is>
          <t>PRESTACIONES DE SERVICIOS</t>
        </is>
      </c>
      <c r="J34" s="21">
        <f>G34-F34</f>
        <v/>
      </c>
      <c r="K34" s="22">
        <f>EOMONTH(B34,0)</f>
        <v/>
      </c>
      <c r="L34" s="22" t="inlineStr">
        <is>
          <t>CFO</t>
        </is>
      </c>
      <c r="M34" s="21" t="n"/>
    </row>
    <row r="35">
      <c r="A35" s="10" t="n">
        <v>41</v>
      </c>
      <c r="B35" s="11" t="n">
        <v>45682</v>
      </c>
      <c r="C35" s="12" t="inlineStr">
        <is>
          <t>0017</t>
        </is>
      </c>
      <c r="D35" s="10" t="inlineStr">
        <is>
          <t>N/FRA. Nº 0017 MEDICINAL GARDENS SL</t>
        </is>
      </c>
      <c r="E35" s="13" t="n">
        <v>70500000000</v>
      </c>
      <c r="F35" s="14" t="n">
        <v>0</v>
      </c>
      <c r="G35" s="14" t="n">
        <v>2237.418466166704</v>
      </c>
      <c r="H35" s="14" t="n">
        <v>0</v>
      </c>
      <c r="I35" s="14" t="inlineStr">
        <is>
          <t>PRESTACIONES DE SERVICIOS</t>
        </is>
      </c>
      <c r="J35" s="21">
        <f>G35-F35</f>
        <v/>
      </c>
      <c r="K35" s="22">
        <f>EOMONTH(B35,0)</f>
        <v/>
      </c>
      <c r="L35" s="22" t="inlineStr">
        <is>
          <t>CFO</t>
        </is>
      </c>
      <c r="M35" s="21" t="n"/>
    </row>
    <row r="36">
      <c r="A36" s="10" t="n">
        <v>42</v>
      </c>
      <c r="B36" s="11" t="n">
        <v>45682</v>
      </c>
      <c r="C36" s="12" t="inlineStr">
        <is>
          <t>0018</t>
        </is>
      </c>
      <c r="D36" s="10" t="inlineStr">
        <is>
          <t>N/FRA. Nº 0018 CLARITY AI EUROPE S.L.U.</t>
        </is>
      </c>
      <c r="E36" s="13" t="n">
        <v>70500000000</v>
      </c>
      <c r="F36" s="14" t="n">
        <v>0</v>
      </c>
      <c r="G36" s="14" t="n">
        <v>2338.582355167335</v>
      </c>
      <c r="H36" s="14" t="n">
        <v>0</v>
      </c>
      <c r="I36" s="14" t="inlineStr">
        <is>
          <t>PRESTACIONES DE SERVICIOS</t>
        </is>
      </c>
      <c r="J36" s="21">
        <f>G36-F36</f>
        <v/>
      </c>
      <c r="K36" s="22">
        <f>EOMONTH(B36,0)</f>
        <v/>
      </c>
      <c r="L36" s="22" t="inlineStr">
        <is>
          <t>CFO</t>
        </is>
      </c>
      <c r="M36" s="21" t="n"/>
    </row>
    <row r="37">
      <c r="A37" s="10" t="n">
        <v>43</v>
      </c>
      <c r="B37" s="11" t="n">
        <v>45682</v>
      </c>
      <c r="C37" s="12" t="inlineStr">
        <is>
          <t>0019</t>
        </is>
      </c>
      <c r="D37" s="10" t="inlineStr">
        <is>
          <t>N/FRA. Nº 0019 AGROSINGULARITY SL</t>
        </is>
      </c>
      <c r="E37" s="13" t="n">
        <v>70500000000</v>
      </c>
      <c r="F37" s="14" t="n">
        <v>0</v>
      </c>
      <c r="G37" s="14" t="n">
        <v>3309.259819713789</v>
      </c>
      <c r="H37" s="14" t="n">
        <v>0</v>
      </c>
      <c r="I37" s="14" t="inlineStr">
        <is>
          <t>PRESTACIONES DE SERVICIOS</t>
        </is>
      </c>
      <c r="J37" s="21">
        <f>G37-F37</f>
        <v/>
      </c>
      <c r="K37" s="22">
        <f>EOMONTH(B37,0)</f>
        <v/>
      </c>
      <c r="L37" s="22" t="inlineStr">
        <is>
          <t>CFO</t>
        </is>
      </c>
      <c r="M37" s="21" t="n"/>
    </row>
    <row r="38">
      <c r="A38" s="10" t="n">
        <v>44</v>
      </c>
      <c r="B38" s="11" t="n">
        <v>45682</v>
      </c>
      <c r="C38" s="12" t="inlineStr">
        <is>
          <t>0020</t>
        </is>
      </c>
      <c r="D38" s="10" t="inlineStr">
        <is>
          <t>N/FRA. Nº 0020 NGLOBAL HOLDING AB</t>
        </is>
      </c>
      <c r="E38" s="13" t="n">
        <v>70500000000</v>
      </c>
      <c r="F38" s="14" t="n">
        <v>0</v>
      </c>
      <c r="G38" s="14" t="n">
        <v>3271.599010855514</v>
      </c>
      <c r="H38" s="14" t="n">
        <v>0</v>
      </c>
      <c r="I38" s="14" t="inlineStr">
        <is>
          <t>PRESTACIONES DE SERVICIOS</t>
        </is>
      </c>
      <c r="J38" s="21">
        <f>G38-F38</f>
        <v/>
      </c>
      <c r="K38" s="22">
        <f>EOMONTH(B38,0)</f>
        <v/>
      </c>
      <c r="L38" s="22" t="inlineStr">
        <is>
          <t>CFO</t>
        </is>
      </c>
      <c r="M38" s="21" t="n"/>
    </row>
    <row r="39">
      <c r="A39" s="10" t="n">
        <v>45</v>
      </c>
      <c r="B39" s="11" t="n">
        <v>45682</v>
      </c>
      <c r="C39" s="12" t="inlineStr">
        <is>
          <t>0021</t>
        </is>
      </c>
      <c r="D39" s="10" t="inlineStr">
        <is>
          <t>N/FRA. Nº 0021 ENTREPINOS PLANT BASED S.L.</t>
        </is>
      </c>
      <c r="E39" s="13" t="n">
        <v>70500000000</v>
      </c>
      <c r="F39" s="14" t="n">
        <v>0</v>
      </c>
      <c r="G39" s="14" t="n">
        <v>1140.669612840046</v>
      </c>
      <c r="H39" s="14" t="n">
        <v>0</v>
      </c>
      <c r="I39" s="14" t="inlineStr">
        <is>
          <t>PRESTACIONES DE SERVICIOS</t>
        </is>
      </c>
      <c r="J39" s="21">
        <f>G39-F39</f>
        <v/>
      </c>
      <c r="K39" s="22">
        <f>EOMONTH(B39,0)</f>
        <v/>
      </c>
      <c r="L39" s="22" t="inlineStr">
        <is>
          <t>CFO</t>
        </is>
      </c>
      <c r="M39" s="21" t="n"/>
    </row>
    <row r="40">
      <c r="A40" s="10" t="n">
        <v>46</v>
      </c>
      <c r="B40" s="11" t="n">
        <v>45682</v>
      </c>
      <c r="C40" s="12" t="inlineStr">
        <is>
          <t>0022</t>
        </is>
      </c>
      <c r="D40" s="10" t="inlineStr">
        <is>
          <t>N/FRA. Nº 0022 DEMIUM STARTUPS SL</t>
        </is>
      </c>
      <c r="E40" s="13" t="n">
        <v>70500000000</v>
      </c>
      <c r="F40" s="14" t="n">
        <v>0</v>
      </c>
      <c r="G40" s="14" t="n">
        <v>374.2177876900678</v>
      </c>
      <c r="H40" s="14" t="n">
        <v>0</v>
      </c>
      <c r="I40" s="14" t="inlineStr">
        <is>
          <t>PRESTACIONES DE SERVICIOS</t>
        </is>
      </c>
      <c r="J40" s="21">
        <f>G40-F40</f>
        <v/>
      </c>
      <c r="K40" s="22">
        <f>EOMONTH(B40,0)</f>
        <v/>
      </c>
      <c r="L40" s="22" t="inlineStr">
        <is>
          <t>Other</t>
        </is>
      </c>
      <c r="M40" s="21" t="n"/>
    </row>
    <row r="41">
      <c r="A41" s="10" t="n">
        <v>47</v>
      </c>
      <c r="B41" s="11" t="n">
        <v>45672</v>
      </c>
      <c r="C41" s="12" t="inlineStr">
        <is>
          <t>1848</t>
        </is>
      </c>
      <c r="D41" s="10" t="inlineStr">
        <is>
          <t>N/FRA. Nº 1848 EBURY PARTNERS UK LTD</t>
        </is>
      </c>
      <c r="E41" s="13" t="n">
        <v>70500000001</v>
      </c>
      <c r="F41" s="14" t="n">
        <v>0</v>
      </c>
      <c r="G41" s="14" t="n">
        <v>4.825220984273616</v>
      </c>
      <c r="H41" s="14" t="n">
        <v>0</v>
      </c>
      <c r="I41" s="14" t="inlineStr">
        <is>
          <t>INGRESOS SIN IVA - REFERIDOS</t>
        </is>
      </c>
      <c r="J41" s="21">
        <f>G41-F41</f>
        <v/>
      </c>
      <c r="K41" s="22">
        <f>EOMONTH(B41,0)</f>
        <v/>
      </c>
      <c r="L41" s="22" t="inlineStr">
        <is>
          <t>Other</t>
        </is>
      </c>
      <c r="M41" s="21" t="n"/>
    </row>
    <row r="42">
      <c r="A42" s="10" t="n">
        <v>52</v>
      </c>
      <c r="B42" s="11" t="n">
        <v>45664</v>
      </c>
      <c r="C42" s="12" t="inlineStr"/>
      <c r="D42" s="10" t="inlineStr">
        <is>
          <t>SHIFT SHIFT TECHNOLOGIES INC</t>
        </is>
      </c>
      <c r="E42" s="13" t="n">
        <v>668</v>
      </c>
      <c r="F42" s="14" t="n">
        <v>0.3093072534267033</v>
      </c>
      <c r="G42" s="14" t="n">
        <v>0</v>
      </c>
      <c r="H42" s="14" t="n">
        <v>0</v>
      </c>
      <c r="I42" s="14" t="inlineStr">
        <is>
          <t>DIFERENCIAS NEGATIVAS DE CAMBIO</t>
        </is>
      </c>
      <c r="J42" s="21">
        <f>G42-F42</f>
        <v/>
      </c>
      <c r="K42" s="22">
        <f>EOMONTH(B42,0)</f>
        <v/>
      </c>
      <c r="L42" s="22" t="inlineStr">
        <is>
          <t>NA</t>
        </is>
      </c>
      <c r="M42" s="21" t="n"/>
    </row>
    <row r="43">
      <c r="A43" s="10" t="n">
        <v>70</v>
      </c>
      <c r="B43" s="11" t="n">
        <v>45672</v>
      </c>
      <c r="C43" s="12" t="inlineStr"/>
      <c r="D43" s="10" t="inlineStr">
        <is>
          <t>SHIFT SHIFT TECHNOLOGIES INC</t>
        </is>
      </c>
      <c r="E43" s="13" t="n">
        <v>668</v>
      </c>
      <c r="F43" s="14" t="n">
        <v>0.4251942358136599</v>
      </c>
      <c r="G43" s="14" t="n">
        <v>0</v>
      </c>
      <c r="H43" s="14" t="n">
        <v>0</v>
      </c>
      <c r="I43" s="14" t="inlineStr">
        <is>
          <t>DIFERENCIAS NEGATIVAS DE CAMBIO</t>
        </is>
      </c>
      <c r="J43" s="21">
        <f>G43-F43</f>
        <v/>
      </c>
      <c r="K43" s="22">
        <f>EOMONTH(B43,0)</f>
        <v/>
      </c>
      <c r="L43" s="22" t="inlineStr">
        <is>
          <t>NA</t>
        </is>
      </c>
      <c r="M43" s="21" t="n"/>
    </row>
    <row r="44">
      <c r="A44" s="10" t="n">
        <v>80</v>
      </c>
      <c r="B44" s="11" t="n">
        <v>45677</v>
      </c>
      <c r="C44" s="12" t="inlineStr"/>
      <c r="D44" s="10" t="inlineStr">
        <is>
          <t>DEV COMIS CAIXABANK 9463</t>
        </is>
      </c>
      <c r="E44" s="13" t="n">
        <v>626</v>
      </c>
      <c r="F44" s="14" t="n">
        <v>0</v>
      </c>
      <c r="G44" s="14" t="n">
        <v>57.60000094719408</v>
      </c>
      <c r="H44" s="14" t="n">
        <v>0</v>
      </c>
      <c r="I44" s="14" t="inlineStr">
        <is>
          <t>SERVICIOS BANCARIOS Y SIMILARES</t>
        </is>
      </c>
      <c r="J44" s="21">
        <f>G44-F44</f>
        <v/>
      </c>
      <c r="K44" s="22">
        <f>EOMONTH(B44,0)</f>
        <v/>
      </c>
      <c r="L44" s="22" t="inlineStr">
        <is>
          <t>Admin</t>
        </is>
      </c>
      <c r="M44" s="21" t="n"/>
    </row>
    <row r="45">
      <c r="A45" s="10" t="n">
        <v>81</v>
      </c>
      <c r="B45" s="11" t="n">
        <v>45677</v>
      </c>
      <c r="C45" s="12" t="inlineStr"/>
      <c r="D45" s="10" t="inlineStr">
        <is>
          <t>COMIS TAREJTA CAIXABANK 9463</t>
        </is>
      </c>
      <c r="E45" s="13" t="n">
        <v>626</v>
      </c>
      <c r="F45" s="14" t="n">
        <v>5.051950101888713</v>
      </c>
      <c r="G45" s="14" t="n">
        <v>0</v>
      </c>
      <c r="H45" s="14" t="n">
        <v>0</v>
      </c>
      <c r="I45" s="14" t="inlineStr">
        <is>
          <t>SERVICIOS BANCARIOS Y SIMILARES</t>
        </is>
      </c>
      <c r="J45" s="21">
        <f>G45-F45</f>
        <v/>
      </c>
      <c r="K45" s="22">
        <f>EOMONTH(B45,0)</f>
        <v/>
      </c>
      <c r="L45" s="22" t="inlineStr">
        <is>
          <t>Admin</t>
        </is>
      </c>
      <c r="M45" s="21" t="n"/>
    </row>
    <row r="46">
      <c r="A46" s="10" t="n">
        <v>82</v>
      </c>
      <c r="B46" s="11" t="n">
        <v>45677</v>
      </c>
      <c r="C46" s="12" t="inlineStr"/>
      <c r="D46" s="10" t="inlineStr">
        <is>
          <t>COMIS CAIXABANK 9463</t>
        </is>
      </c>
      <c r="E46" s="13" t="n">
        <v>626</v>
      </c>
      <c r="F46" s="14" t="n">
        <v>12.86056993631159</v>
      </c>
      <c r="G46" s="14" t="n">
        <v>0</v>
      </c>
      <c r="H46" s="14" t="n">
        <v>0</v>
      </c>
      <c r="I46" s="14" t="inlineStr">
        <is>
          <t>SERVICIOS BANCARIOS Y SIMILARES</t>
        </is>
      </c>
      <c r="J46" s="21">
        <f>G46-F46</f>
        <v/>
      </c>
      <c r="K46" s="22">
        <f>EOMONTH(B46,0)</f>
        <v/>
      </c>
      <c r="L46" s="22" t="inlineStr">
        <is>
          <t>Admin</t>
        </is>
      </c>
      <c r="M46" s="21" t="n"/>
    </row>
    <row r="47">
      <c r="A47" s="10" t="n">
        <v>85</v>
      </c>
      <c r="B47" s="11" t="n">
        <v>45679</v>
      </c>
      <c r="C47" s="12" t="inlineStr"/>
      <c r="D47" s="10" t="inlineStr">
        <is>
          <t>DEV COMIS CAIXABANK 9463</t>
        </is>
      </c>
      <c r="E47" s="13" t="n">
        <v>626</v>
      </c>
      <c r="F47" s="14" t="n">
        <v>0</v>
      </c>
      <c r="G47" s="14" t="n">
        <v>31.28072277478246</v>
      </c>
      <c r="H47" s="14" t="n">
        <v>0</v>
      </c>
      <c r="I47" s="14" t="inlineStr">
        <is>
          <t>SERVICIOS BANCARIOS Y SIMILARES</t>
        </is>
      </c>
      <c r="J47" s="21">
        <f>G47-F47</f>
        <v/>
      </c>
      <c r="K47" s="22">
        <f>EOMONTH(B47,0)</f>
        <v/>
      </c>
      <c r="L47" s="22" t="inlineStr">
        <is>
          <t>Admin</t>
        </is>
      </c>
      <c r="M47" s="21" t="n"/>
    </row>
    <row r="48">
      <c r="A48" s="10" t="n">
        <v>90</v>
      </c>
      <c r="B48" s="11" t="n">
        <v>45683</v>
      </c>
      <c r="C48" s="12" t="inlineStr"/>
      <c r="D48" s="10" t="inlineStr">
        <is>
          <t>COMISIONES CAIXABANK 9463</t>
        </is>
      </c>
      <c r="E48" s="13" t="n">
        <v>626</v>
      </c>
      <c r="F48" s="14" t="n">
        <v>0.7113011230974052</v>
      </c>
      <c r="G48" s="14" t="n">
        <v>0</v>
      </c>
      <c r="H48" s="14" t="n">
        <v>0</v>
      </c>
      <c r="I48" s="14" t="inlineStr">
        <is>
          <t>SERVICIOS BANCARIOS Y SIMILARES</t>
        </is>
      </c>
      <c r="J48" s="21">
        <f>G48-F48</f>
        <v/>
      </c>
      <c r="K48" s="22">
        <f>EOMONTH(B48,0)</f>
        <v/>
      </c>
      <c r="L48" s="22" t="inlineStr">
        <is>
          <t>Admin</t>
        </is>
      </c>
      <c r="M48" s="21" t="n"/>
    </row>
    <row r="49">
      <c r="A49" s="10" t="n">
        <v>91</v>
      </c>
      <c r="B49" s="11" t="n">
        <v>45683</v>
      </c>
      <c r="C49" s="12" t="inlineStr"/>
      <c r="D49" s="10" t="inlineStr">
        <is>
          <t>COMISIONES CAIXABANK 9463</t>
        </is>
      </c>
      <c r="E49" s="13" t="n">
        <v>626</v>
      </c>
      <c r="F49" s="14" t="n">
        <v>22.34971948792354</v>
      </c>
      <c r="G49" s="14" t="n">
        <v>0</v>
      </c>
      <c r="H49" s="14" t="n">
        <v>0</v>
      </c>
      <c r="I49" s="14" t="inlineStr">
        <is>
          <t>SERVICIOS BANCARIOS Y SIMILARES</t>
        </is>
      </c>
      <c r="J49" s="21">
        <f>G49-F49</f>
        <v/>
      </c>
      <c r="K49" s="22">
        <f>EOMONTH(B49,0)</f>
        <v/>
      </c>
      <c r="L49" s="22" t="inlineStr">
        <is>
          <t>Admin</t>
        </is>
      </c>
      <c r="M49" s="21" t="n"/>
    </row>
    <row r="50">
      <c r="A50" s="10" t="n">
        <v>95</v>
      </c>
      <c r="B50" s="11" t="n">
        <v>45686</v>
      </c>
      <c r="C50" s="12" t="inlineStr">
        <is>
          <t>NOMINAS DICIEMBRE</t>
        </is>
      </c>
      <c r="D50" s="10" t="inlineStr">
        <is>
          <t>TGSS ORGANISMOS DE LA SEGURIDAD SOCIAL, ACREEDORES</t>
        </is>
      </c>
      <c r="E50" s="13" t="n">
        <v>626</v>
      </c>
      <c r="F50" s="14" t="n">
        <v>0</v>
      </c>
      <c r="G50" s="14" t="n">
        <v>0.01905636107815573</v>
      </c>
      <c r="H50" s="14" t="n">
        <v>0</v>
      </c>
      <c r="I50" s="14" t="inlineStr">
        <is>
          <t>SERVICIOS BANCARIOS Y SIMILARES</t>
        </is>
      </c>
      <c r="J50" s="21">
        <f>G50-F50</f>
        <v/>
      </c>
      <c r="K50" s="22">
        <f>EOMONTH(B50,0)</f>
        <v/>
      </c>
      <c r="L50" s="22" t="inlineStr">
        <is>
          <t>Admin</t>
        </is>
      </c>
      <c r="M50" s="21" t="n"/>
    </row>
    <row r="51">
      <c r="A51" s="10" t="n">
        <v>97</v>
      </c>
      <c r="B51" s="11" t="n">
        <v>45686</v>
      </c>
      <c r="C51" s="12" t="inlineStr"/>
      <c r="D51" s="10" t="inlineStr">
        <is>
          <t>COMISIONES CAIXABANK 9463</t>
        </is>
      </c>
      <c r="E51" s="13" t="n">
        <v>626</v>
      </c>
      <c r="F51" s="14" t="n">
        <v>0.2650421306158867</v>
      </c>
      <c r="G51" s="14" t="n">
        <v>0</v>
      </c>
      <c r="H51" s="14" t="n">
        <v>0</v>
      </c>
      <c r="I51" s="14" t="inlineStr">
        <is>
          <t>SERVICIOS BANCARIOS Y SIMILARES</t>
        </is>
      </c>
      <c r="J51" s="21">
        <f>G51-F51</f>
        <v/>
      </c>
      <c r="K51" s="22">
        <f>EOMONTH(B51,0)</f>
        <v/>
      </c>
      <c r="L51" s="22" t="inlineStr">
        <is>
          <t>Admin</t>
        </is>
      </c>
      <c r="M51" s="21" t="n"/>
    </row>
    <row r="52">
      <c r="A52" s="10" t="n">
        <v>98</v>
      </c>
      <c r="B52" s="11" t="n">
        <v>45686</v>
      </c>
      <c r="C52" s="12" t="inlineStr"/>
      <c r="D52" s="10" t="inlineStr">
        <is>
          <t>COMISIONES CAIXABANK 9463</t>
        </is>
      </c>
      <c r="E52" s="13" t="n">
        <v>626</v>
      </c>
      <c r="F52" s="14" t="n">
        <v>6.518746749085214</v>
      </c>
      <c r="G52" s="14" t="n">
        <v>0</v>
      </c>
      <c r="H52" s="14" t="n">
        <v>0</v>
      </c>
      <c r="I52" s="14" t="inlineStr">
        <is>
          <t>SERVICIOS BANCARIOS Y SIMILARES</t>
        </is>
      </c>
      <c r="J52" s="21">
        <f>G52-F52</f>
        <v/>
      </c>
      <c r="K52" s="22">
        <f>EOMONTH(B52,0)</f>
        <v/>
      </c>
      <c r="L52" s="22" t="inlineStr">
        <is>
          <t>Admin</t>
        </is>
      </c>
      <c r="M52" s="21" t="n"/>
    </row>
    <row r="53">
      <c r="A53" s="10" t="n">
        <v>101</v>
      </c>
      <c r="B53" s="11" t="n">
        <v>45688</v>
      </c>
      <c r="C53" s="12" t="inlineStr"/>
      <c r="D53" s="10" t="inlineStr">
        <is>
          <t>COMISONES CAIXABANK 9463</t>
        </is>
      </c>
      <c r="E53" s="13" t="n">
        <v>626</v>
      </c>
      <c r="F53" s="14" t="n">
        <v>1.367405394786266</v>
      </c>
      <c r="G53" s="14" t="n">
        <v>0</v>
      </c>
      <c r="H53" s="14" t="n">
        <v>0</v>
      </c>
      <c r="I53" s="14" t="inlineStr">
        <is>
          <t>SERVICIOS BANCARIOS Y SIMILARES</t>
        </is>
      </c>
      <c r="J53" s="21">
        <f>G53-F53</f>
        <v/>
      </c>
      <c r="K53" s="22">
        <f>EOMONTH(B53,0)</f>
        <v/>
      </c>
      <c r="L53" s="22" t="inlineStr">
        <is>
          <t>Admin</t>
        </is>
      </c>
      <c r="M53" s="21" t="n"/>
    </row>
    <row r="54">
      <c r="A54" s="10" t="n">
        <v>120</v>
      </c>
      <c r="B54" s="11" t="n">
        <v>45716</v>
      </c>
      <c r="C54" s="12" t="inlineStr">
        <is>
          <t>NOMINA ENERO</t>
        </is>
      </c>
      <c r="D54" s="10" t="inlineStr">
        <is>
          <t>S/FRA. Nº NOMINA ENERO [PROVEEDOR]</t>
        </is>
      </c>
      <c r="E54" s="13" t="n">
        <v>640</v>
      </c>
      <c r="F54" s="14" t="n">
        <v>14640.1230011027</v>
      </c>
      <c r="G54" s="14" t="n">
        <v>0</v>
      </c>
      <c r="H54" s="14" t="n">
        <v>0</v>
      </c>
      <c r="I54" s="14" t="inlineStr">
        <is>
          <t>SUELDOS Y SALARIOS</t>
        </is>
      </c>
      <c r="J54" s="21">
        <f>G54-F54</f>
        <v/>
      </c>
      <c r="K54" s="22">
        <f>EOMONTH(B54,0)</f>
        <v/>
      </c>
      <c r="L54" s="22" t="inlineStr">
        <is>
          <t>NA</t>
        </is>
      </c>
      <c r="M54" s="21" t="n"/>
    </row>
    <row r="55">
      <c r="A55" s="10" t="n">
        <v>120</v>
      </c>
      <c r="B55" s="11" t="n">
        <v>45688</v>
      </c>
      <c r="C55" s="12" t="inlineStr">
        <is>
          <t>NOMINA ENERO</t>
        </is>
      </c>
      <c r="D55" s="10" t="inlineStr">
        <is>
          <t>S/FRA. Nº NOMINA ENERO [PROVEEDOR]</t>
        </is>
      </c>
      <c r="E55" s="13" t="n">
        <v>642</v>
      </c>
      <c r="F55" s="14" t="n">
        <v>3848.17674199508</v>
      </c>
      <c r="G55" s="14" t="n">
        <v>0</v>
      </c>
      <c r="H55" s="14" t="n">
        <v>0</v>
      </c>
      <c r="I55" s="14" t="inlineStr">
        <is>
          <t>SEGURIDAD SOCIAL A CARGO DE LA EMPRESA</t>
        </is>
      </c>
      <c r="J55" s="21">
        <f>G55-F55</f>
        <v/>
      </c>
      <c r="K55" s="22">
        <f>EOMONTH(B55,0)</f>
        <v/>
      </c>
      <c r="L55" s="22" t="inlineStr">
        <is>
          <t>NA</t>
        </is>
      </c>
      <c r="M55" s="21" t="n"/>
    </row>
    <row r="56">
      <c r="A56" s="10" t="n">
        <v>121</v>
      </c>
      <c r="B56" s="11" t="n">
        <v>45665</v>
      </c>
      <c r="C56" s="12" t="inlineStr">
        <is>
          <t>TICKET</t>
        </is>
      </c>
      <c r="D56" s="10" t="inlineStr">
        <is>
          <t>S/FRA. Nº TICKET ACREEDORES POR PRESTACIÓN DE SERVICIOS</t>
        </is>
      </c>
      <c r="E56" s="13" t="n">
        <v>62900000000</v>
      </c>
      <c r="F56" s="14" t="n">
        <v>40.22921018108276</v>
      </c>
      <c r="G56" s="14" t="n">
        <v>0</v>
      </c>
      <c r="H56" s="14" t="n">
        <v>0</v>
      </c>
      <c r="I56" s="14" t="inlineStr">
        <is>
          <t>OTROS SERVICIOS</t>
        </is>
      </c>
      <c r="J56" s="21">
        <f>G56-F56</f>
        <v/>
      </c>
      <c r="K56" s="22">
        <f>EOMONTH(B56,0)</f>
        <v/>
      </c>
      <c r="L56" s="22" t="inlineStr">
        <is>
          <t>Admin</t>
        </is>
      </c>
      <c r="M56" s="21" t="n"/>
    </row>
    <row r="57">
      <c r="A57" s="10" t="n">
        <v>122</v>
      </c>
      <c r="B57" s="11" t="n">
        <v>45668</v>
      </c>
      <c r="C57" s="12" t="inlineStr">
        <is>
          <t>0062</t>
        </is>
      </c>
      <c r="D57" s="10" t="inlineStr">
        <is>
          <t>S/FRA. Nº 0062 SHENZHENSHI FEIERSI DIANZI YOUXIAN GONGSI</t>
        </is>
      </c>
      <c r="E57" s="13" t="n">
        <v>62900000001</v>
      </c>
      <c r="F57" s="14" t="n">
        <v>10.98301543361046</v>
      </c>
      <c r="G57" s="14" t="n">
        <v>0</v>
      </c>
      <c r="H57" s="14" t="n">
        <v>0</v>
      </c>
      <c r="I57" s="14" t="inlineStr">
        <is>
          <t>GASTOS MATERIAL OFICINA</t>
        </is>
      </c>
      <c r="J57" s="21">
        <f>G57-F57</f>
        <v/>
      </c>
      <c r="K57" s="22">
        <f>EOMONTH(B57,0)</f>
        <v/>
      </c>
      <c r="L57" s="22" t="inlineStr">
        <is>
          <t>IT</t>
        </is>
      </c>
      <c r="M57" s="21" t="n"/>
    </row>
    <row r="58">
      <c r="A58" s="10" t="n">
        <v>123</v>
      </c>
      <c r="B58" s="11" t="n">
        <v>45670</v>
      </c>
      <c r="C58" s="12" t="inlineStr">
        <is>
          <t>2514</t>
        </is>
      </c>
      <c r="D58" s="10" t="inlineStr">
        <is>
          <t>S/FRA. Nº 2514 AMAZON EU SARL SUCURSAL EN ESPAÑA</t>
        </is>
      </c>
      <c r="E58" s="13" t="n">
        <v>62900000001</v>
      </c>
      <c r="F58" s="14" t="n">
        <v>81.19731360816961</v>
      </c>
      <c r="G58" s="14" t="n">
        <v>0</v>
      </c>
      <c r="H58" s="14" t="n">
        <v>0</v>
      </c>
      <c r="I58" s="14" t="inlineStr">
        <is>
          <t>GASTOS MATERIAL OFICINA</t>
        </is>
      </c>
      <c r="J58" s="21">
        <f>G58-F58</f>
        <v/>
      </c>
      <c r="K58" s="22">
        <f>EOMONTH(B58,0)</f>
        <v/>
      </c>
      <c r="L58" s="22" t="inlineStr">
        <is>
          <t>IT</t>
        </is>
      </c>
      <c r="M58" s="21" t="n"/>
    </row>
    <row r="59">
      <c r="A59" s="10" t="n">
        <v>124</v>
      </c>
      <c r="B59" s="11" t="n">
        <v>45676</v>
      </c>
      <c r="C59" s="12" t="inlineStr">
        <is>
          <t>2029</t>
        </is>
      </c>
      <c r="D59" s="10" t="inlineStr">
        <is>
          <t>S/FRA. Nº 2029 AMAZON EU SARL SUCURSAL EN ESPAÑA</t>
        </is>
      </c>
      <c r="E59" s="13" t="n">
        <v>62900000001</v>
      </c>
      <c r="F59" s="14" t="n">
        <v>127.7143275037318</v>
      </c>
      <c r="G59" s="14" t="n">
        <v>0</v>
      </c>
      <c r="H59" s="14" t="n">
        <v>0</v>
      </c>
      <c r="I59" s="14" t="inlineStr">
        <is>
          <t>GASTOS MATERIAL OFICINA</t>
        </is>
      </c>
      <c r="J59" s="21">
        <f>G59-F59</f>
        <v/>
      </c>
      <c r="K59" s="22">
        <f>EOMONTH(B59,0)</f>
        <v/>
      </c>
      <c r="L59" s="22" t="inlineStr">
        <is>
          <t>IT</t>
        </is>
      </c>
      <c r="M59" s="21" t="n"/>
    </row>
    <row r="60">
      <c r="A60" s="10" t="n">
        <v>125</v>
      </c>
      <c r="B60" s="11" t="n">
        <v>45676</v>
      </c>
      <c r="C60" s="12" t="inlineStr">
        <is>
          <t>2128</t>
        </is>
      </c>
      <c r="D60" s="10" t="inlineStr">
        <is>
          <t>S/FRA. Nº 2128 AMAZON EU SARL SUCURSAL EN ESPAÑA</t>
        </is>
      </c>
      <c r="E60" s="13" t="n">
        <v>62900000001</v>
      </c>
      <c r="F60" s="14" t="n">
        <v>10.32338183153078</v>
      </c>
      <c r="G60" s="14" t="n">
        <v>0</v>
      </c>
      <c r="H60" s="14" t="n">
        <v>0</v>
      </c>
      <c r="I60" s="14" t="inlineStr">
        <is>
          <t>GASTOS MATERIAL OFICINA</t>
        </is>
      </c>
      <c r="J60" s="21">
        <f>G60-F60</f>
        <v/>
      </c>
      <c r="K60" s="22">
        <f>EOMONTH(B60,0)</f>
        <v/>
      </c>
      <c r="L60" s="22" t="inlineStr">
        <is>
          <t>IT</t>
        </is>
      </c>
      <c r="M60" s="21" t="n"/>
    </row>
    <row r="61">
      <c r="A61" s="10" t="n">
        <v>126</v>
      </c>
      <c r="B61" s="11" t="n">
        <v>45677</v>
      </c>
      <c r="C61" s="12" t="inlineStr">
        <is>
          <t>0220</t>
        </is>
      </c>
      <c r="D61" s="10" t="inlineStr">
        <is>
          <t>S/FRA. Nº 0220 SHENZHENSHI BAOANQU BISHUN SHANGMAOHANG</t>
        </is>
      </c>
      <c r="E61" s="13" t="n">
        <v>62900000001</v>
      </c>
      <c r="F61" s="14" t="n">
        <v>38.27690642824511</v>
      </c>
      <c r="G61" s="14" t="n">
        <v>0</v>
      </c>
      <c r="H61" s="14" t="n">
        <v>0</v>
      </c>
      <c r="I61" s="14" t="inlineStr">
        <is>
          <t>GASTOS MATERIAL OFICINA</t>
        </is>
      </c>
      <c r="J61" s="21">
        <f>G61-F61</f>
        <v/>
      </c>
      <c r="K61" s="22">
        <f>EOMONTH(B61,0)</f>
        <v/>
      </c>
      <c r="L61" s="22" t="inlineStr">
        <is>
          <t>IT</t>
        </is>
      </c>
      <c r="M61" s="21" t="n"/>
    </row>
    <row r="62">
      <c r="A62" s="10" t="n">
        <v>128</v>
      </c>
      <c r="B62" s="11" t="n">
        <v>45684</v>
      </c>
      <c r="C62" s="12" t="inlineStr">
        <is>
          <t>7224</t>
        </is>
      </c>
      <c r="D62" s="10" t="inlineStr">
        <is>
          <t>S/FRA. Nº 7224 LINKEDIN IRELAND UNLIMETED</t>
        </is>
      </c>
      <c r="E62" s="13" t="n">
        <v>62900000000</v>
      </c>
      <c r="F62" s="14" t="n">
        <v>7.49449641612688</v>
      </c>
      <c r="G62" s="14" t="n">
        <v>0</v>
      </c>
      <c r="H62" s="14" t="n">
        <v>0</v>
      </c>
      <c r="I62" s="14" t="inlineStr">
        <is>
          <t>OTROS SERVICIOS</t>
        </is>
      </c>
      <c r="J62" s="21">
        <f>G62-F62</f>
        <v/>
      </c>
      <c r="K62" s="22">
        <f>EOMONTH(B62,0)</f>
        <v/>
      </c>
      <c r="L62" s="22" t="inlineStr">
        <is>
          <t>Sales</t>
        </is>
      </c>
      <c r="M62" s="21" t="n"/>
    </row>
    <row r="63">
      <c r="A63" s="10" t="n">
        <v>129</v>
      </c>
      <c r="B63" s="11" t="n">
        <v>45684</v>
      </c>
      <c r="C63" s="12" t="inlineStr">
        <is>
          <t>4884</t>
        </is>
      </c>
      <c r="D63" s="10" t="inlineStr">
        <is>
          <t>S/FRA. Nº 4884 LINKEDIN IRELAND UNLIMETED</t>
        </is>
      </c>
      <c r="E63" s="13" t="n">
        <v>62900000000</v>
      </c>
      <c r="F63" s="14" t="n">
        <v>16.74114904908846</v>
      </c>
      <c r="G63" s="14" t="n">
        <v>0</v>
      </c>
      <c r="H63" s="14" t="n">
        <v>0</v>
      </c>
      <c r="I63" s="14" t="inlineStr">
        <is>
          <t>OTROS SERVICIOS</t>
        </is>
      </c>
      <c r="J63" s="21">
        <f>G63-F63</f>
        <v/>
      </c>
      <c r="K63" s="22">
        <f>EOMONTH(B63,0)</f>
        <v/>
      </c>
      <c r="L63" s="22" t="inlineStr">
        <is>
          <t>Sales</t>
        </is>
      </c>
      <c r="M63" s="21" t="n"/>
    </row>
    <row r="64">
      <c r="A64" s="10" t="n">
        <v>130</v>
      </c>
      <c r="B64" s="11" t="n">
        <v>45688</v>
      </c>
      <c r="C64" s="12" t="inlineStr">
        <is>
          <t>0145</t>
        </is>
      </c>
      <c r="D64" s="10" t="inlineStr">
        <is>
          <t>S/FRA. Nº 0145 PERK FINANCE, S.L.</t>
        </is>
      </c>
      <c r="E64" s="13" t="n">
        <v>62900000000</v>
      </c>
      <c r="F64" s="14" t="n">
        <v>733.9108249077614</v>
      </c>
      <c r="G64" s="14" t="n">
        <v>0</v>
      </c>
      <c r="H64" s="14" t="n">
        <v>0</v>
      </c>
      <c r="I64" s="14" t="inlineStr">
        <is>
          <t>OTROS SERVICIOS</t>
        </is>
      </c>
      <c r="J64" s="21">
        <f>G64-F64</f>
        <v/>
      </c>
      <c r="K64" s="22">
        <f>EOMONTH(B64,0)</f>
        <v/>
      </c>
      <c r="L64" s="22" t="inlineStr">
        <is>
          <t>Admin</t>
        </is>
      </c>
      <c r="M64" s="21" t="n"/>
    </row>
    <row r="65">
      <c r="A65" s="10" t="n">
        <v>130</v>
      </c>
      <c r="B65" s="11" t="n">
        <v>45688</v>
      </c>
      <c r="C65" s="12" t="inlineStr">
        <is>
          <t>0145</t>
        </is>
      </c>
      <c r="D65" s="10" t="inlineStr">
        <is>
          <t>S/FRA. Nº 0145 PERK FINANCE, S.L.</t>
        </is>
      </c>
      <c r="E65" s="13" t="n">
        <v>62900000000</v>
      </c>
      <c r="F65" s="14" t="n">
        <v>75.18451146457291</v>
      </c>
      <c r="G65" s="14" t="n">
        <v>0</v>
      </c>
      <c r="H65" s="14" t="n">
        <v>0</v>
      </c>
      <c r="I65" s="14" t="inlineStr">
        <is>
          <t>OTROS SERVICIOS</t>
        </is>
      </c>
      <c r="J65" s="21">
        <f>G65-F65</f>
        <v/>
      </c>
      <c r="K65" s="22">
        <f>EOMONTH(B65,0)</f>
        <v/>
      </c>
      <c r="L65" s="22" t="inlineStr">
        <is>
          <t>Admin</t>
        </is>
      </c>
      <c r="M65" s="21" t="n"/>
    </row>
    <row r="66">
      <c r="A66" s="10" t="n">
        <v>137</v>
      </c>
      <c r="B66" s="11" t="n">
        <v>45682</v>
      </c>
      <c r="C66" s="12" t="inlineStr">
        <is>
          <t>0023</t>
        </is>
      </c>
      <c r="D66" s="10" t="inlineStr">
        <is>
          <t>N/FRA. Nº 0023 ANTONIO DIEGO ESPINOSA DE LOS MONTEROS DARNAUDE</t>
        </is>
      </c>
      <c r="E66" s="13" t="n">
        <v>70500000000</v>
      </c>
      <c r="F66" s="14" t="n">
        <v>0</v>
      </c>
      <c r="G66" s="14" t="n">
        <v>311.2157887346445</v>
      </c>
      <c r="H66" s="14" t="n">
        <v>0</v>
      </c>
      <c r="I66" s="14" t="inlineStr">
        <is>
          <t>PRESTACIONES DE SERVICIOS</t>
        </is>
      </c>
      <c r="J66" s="21">
        <f>G66-F66</f>
        <v/>
      </c>
      <c r="K66" s="22">
        <f>EOMONTH(B66,0)</f>
        <v/>
      </c>
      <c r="L66" s="22" t="inlineStr">
        <is>
          <t>CFO</t>
        </is>
      </c>
      <c r="M66" s="21" t="n"/>
    </row>
    <row r="67">
      <c r="A67" s="10" t="n">
        <v>139</v>
      </c>
      <c r="B67" s="11" t="n">
        <v>45686</v>
      </c>
      <c r="C67" s="12" t="inlineStr">
        <is>
          <t>0222</t>
        </is>
      </c>
      <c r="D67" s="10" t="inlineStr">
        <is>
          <t>S/FRA. Nº 0222 REFRUITING,S.L</t>
        </is>
      </c>
      <c r="E67" s="13" t="n">
        <v>62900000001</v>
      </c>
      <c r="F67" s="14" t="n">
        <v>32.36442897067825</v>
      </c>
      <c r="G67" s="14" t="n">
        <v>0</v>
      </c>
      <c r="H67" s="14" t="n">
        <v>0</v>
      </c>
      <c r="I67" s="14" t="inlineStr">
        <is>
          <t>GASTOS MATERIAL OFICINA</t>
        </is>
      </c>
      <c r="J67" s="21">
        <f>G67-F67</f>
        <v/>
      </c>
      <c r="K67" s="22">
        <f>EOMONTH(B67,0)</f>
        <v/>
      </c>
      <c r="L67" s="22" t="inlineStr">
        <is>
          <t>Admin</t>
        </is>
      </c>
      <c r="M67" s="21" t="n"/>
    </row>
    <row r="68">
      <c r="A68" s="10" t="n">
        <v>140</v>
      </c>
      <c r="B68" s="11" t="n">
        <v>45688</v>
      </c>
      <c r="C68" s="12" t="inlineStr">
        <is>
          <t>0002</t>
        </is>
      </c>
      <c r="D68" s="10" t="inlineStr">
        <is>
          <t>S/FRA. Nº 0002 GONZALO REY ABELAIRA</t>
        </is>
      </c>
      <c r="E68" s="13" t="n">
        <v>62300</v>
      </c>
      <c r="F68" s="14" t="n">
        <v>129.4248537254372</v>
      </c>
      <c r="G68" s="14" t="n">
        <v>0</v>
      </c>
      <c r="H68" s="14" t="n">
        <v>0</v>
      </c>
      <c r="I68" s="14" t="inlineStr">
        <is>
          <t>SERVICIOS DE PROFESIONALES INDEPENDIENTES</t>
        </is>
      </c>
      <c r="J68" s="21">
        <f>G68-F68</f>
        <v/>
      </c>
      <c r="K68" s="22">
        <f>EOMONTH(B68,0)</f>
        <v/>
      </c>
      <c r="L68" s="22" t="inlineStr">
        <is>
          <t>Sales</t>
        </is>
      </c>
      <c r="M68" s="21" t="n"/>
    </row>
    <row r="69">
      <c r="A69" s="10" t="n">
        <v>227</v>
      </c>
      <c r="B69" s="11" t="n">
        <v>45688</v>
      </c>
      <c r="C69" s="12" t="inlineStr">
        <is>
          <t>9263</t>
        </is>
      </c>
      <c r="D69" s="10" t="inlineStr">
        <is>
          <t>S/FRA. Nº 9263 GOOGLE IRELAND LIMITED</t>
        </is>
      </c>
      <c r="E69" s="13" t="n">
        <v>62900000000</v>
      </c>
      <c r="F69" s="14" t="n">
        <v>56.50537987299765</v>
      </c>
      <c r="G69" s="14" t="n">
        <v>0</v>
      </c>
      <c r="H69" s="14" t="n">
        <v>0</v>
      </c>
      <c r="I69" s="14" t="inlineStr">
        <is>
          <t>OTROS SERVICIOS</t>
        </is>
      </c>
      <c r="J69" s="21">
        <f>G69-F69</f>
        <v/>
      </c>
      <c r="K69" s="22">
        <f>EOMONTH(B69,0)</f>
        <v/>
      </c>
      <c r="L69" s="22" t="inlineStr">
        <is>
          <t>IT</t>
        </is>
      </c>
      <c r="M69" s="21" t="n"/>
    </row>
    <row r="70">
      <c r="A70" s="10" t="n">
        <v>105</v>
      </c>
      <c r="B70" s="11" t="n">
        <v>45689</v>
      </c>
      <c r="C70" s="12" t="inlineStr"/>
      <c r="D70" s="10" t="inlineStr">
        <is>
          <t>SEGURO CAIXABANK 9463</t>
        </is>
      </c>
      <c r="E70" s="13" t="n">
        <v>625</v>
      </c>
      <c r="F70" s="14" t="n">
        <v>56.64541508973887</v>
      </c>
      <c r="G70" s="14" t="n">
        <v>0</v>
      </c>
      <c r="H70" s="14" t="n">
        <v>0</v>
      </c>
      <c r="I70" s="14" t="inlineStr">
        <is>
          <t>PRIMAS DE SEGUROS</t>
        </is>
      </c>
      <c r="J70" s="21">
        <f>G70-F70</f>
        <v/>
      </c>
      <c r="K70" s="22">
        <f>EOMONTH(B70,0)</f>
        <v/>
      </c>
      <c r="L70" s="22" t="inlineStr">
        <is>
          <t>Admin</t>
        </is>
      </c>
      <c r="M70" s="21" t="n"/>
    </row>
    <row r="71">
      <c r="A71" s="10" t="n">
        <v>107</v>
      </c>
      <c r="B71" s="11" t="n">
        <v>45690</v>
      </c>
      <c r="C71" s="12" t="inlineStr"/>
      <c r="D71" s="10" t="inlineStr">
        <is>
          <t>COMISIONES CAIXABANK 9463</t>
        </is>
      </c>
      <c r="E71" s="13" t="n">
        <v>626</v>
      </c>
      <c r="F71" s="14" t="n">
        <v>3.782772268992433</v>
      </c>
      <c r="G71" s="14" t="n">
        <v>0</v>
      </c>
      <c r="H71" s="14" t="n">
        <v>0</v>
      </c>
      <c r="I71" s="14" t="inlineStr">
        <is>
          <t>SERVICIOS BANCARIOS Y SIMILARES</t>
        </is>
      </c>
      <c r="J71" s="21">
        <f>G71-F71</f>
        <v/>
      </c>
      <c r="K71" s="22">
        <f>EOMONTH(B71,0)</f>
        <v/>
      </c>
      <c r="L71" s="22" t="inlineStr">
        <is>
          <t>Admin</t>
        </is>
      </c>
      <c r="M71" s="21" t="n"/>
    </row>
    <row r="72">
      <c r="A72" s="10" t="n">
        <v>109</v>
      </c>
      <c r="B72" s="11" t="n">
        <v>45691</v>
      </c>
      <c r="C72" s="12" t="inlineStr"/>
      <c r="D72" s="10" t="inlineStr">
        <is>
          <t>COMISIONES CAIXABANK 9463</t>
        </is>
      </c>
      <c r="E72" s="13" t="n">
        <v>626</v>
      </c>
      <c r="F72" s="14" t="n">
        <v>11.17090207578046</v>
      </c>
      <c r="G72" s="14" t="n">
        <v>0</v>
      </c>
      <c r="H72" s="14" t="n">
        <v>0</v>
      </c>
      <c r="I72" s="14" t="inlineStr">
        <is>
          <t>SERVICIOS BANCARIOS Y SIMILARES</t>
        </is>
      </c>
      <c r="J72" s="21">
        <f>G72-F72</f>
        <v/>
      </c>
      <c r="K72" s="22">
        <f>EOMONTH(B72,0)</f>
        <v/>
      </c>
      <c r="L72" s="22" t="inlineStr">
        <is>
          <t>Admin</t>
        </is>
      </c>
      <c r="M72" s="21" t="n"/>
    </row>
    <row r="73">
      <c r="A73" s="10" t="n">
        <v>110</v>
      </c>
      <c r="B73" s="11" t="n">
        <v>45691</v>
      </c>
      <c r="C73" s="12" t="inlineStr"/>
      <c r="D73" s="10" t="inlineStr">
        <is>
          <t>DEV COMISIONES CAIXABANK 9463</t>
        </is>
      </c>
      <c r="E73" s="13" t="n">
        <v>626</v>
      </c>
      <c r="F73" s="14" t="n">
        <v>0</v>
      </c>
      <c r="G73" s="14" t="n">
        <v>7.120440200070341</v>
      </c>
      <c r="H73" s="14" t="n">
        <v>0</v>
      </c>
      <c r="I73" s="14" t="inlineStr">
        <is>
          <t>SERVICIOS BANCARIOS Y SIMILARES</t>
        </is>
      </c>
      <c r="J73" s="21">
        <f>G73-F73</f>
        <v/>
      </c>
      <c r="K73" s="22">
        <f>EOMONTH(B73,0)</f>
        <v/>
      </c>
      <c r="L73" s="22" t="inlineStr">
        <is>
          <t>Admin</t>
        </is>
      </c>
      <c r="M73" s="21" t="n"/>
    </row>
    <row r="74">
      <c r="A74" s="10" t="n">
        <v>112</v>
      </c>
      <c r="B74" s="11" t="n">
        <v>45691</v>
      </c>
      <c r="C74" s="12" t="inlineStr"/>
      <c r="D74" s="10" t="inlineStr">
        <is>
          <t>DEV COMIS CAIXABANK 9463</t>
        </is>
      </c>
      <c r="E74" s="13" t="n">
        <v>626</v>
      </c>
      <c r="F74" s="14" t="n">
        <v>0</v>
      </c>
      <c r="G74" s="14" t="n">
        <v>1.293111701186142</v>
      </c>
      <c r="H74" s="14" t="n">
        <v>0</v>
      </c>
      <c r="I74" s="14" t="inlineStr">
        <is>
          <t>SERVICIOS BANCARIOS Y SIMILARES</t>
        </is>
      </c>
      <c r="J74" s="21">
        <f>G74-F74</f>
        <v/>
      </c>
      <c r="K74" s="22">
        <f>EOMONTH(B74,0)</f>
        <v/>
      </c>
      <c r="L74" s="22" t="inlineStr">
        <is>
          <t>Admin</t>
        </is>
      </c>
      <c r="M74" s="21" t="n"/>
    </row>
    <row r="75">
      <c r="A75" s="10" t="n">
        <v>131</v>
      </c>
      <c r="B75" s="11" t="n">
        <v>45693</v>
      </c>
      <c r="C75" s="12" t="inlineStr">
        <is>
          <t>TICKET</t>
        </is>
      </c>
      <c r="D75" s="10" t="inlineStr">
        <is>
          <t>S/FRA. Nº TICKET ACREEDORES POR PRESTACIÓN DE SERVICIOS</t>
        </is>
      </c>
      <c r="E75" s="13" t="n">
        <v>62900000000</v>
      </c>
      <c r="F75" s="14" t="n">
        <v>37.54025972453964</v>
      </c>
      <c r="G75" s="14" t="n">
        <v>0</v>
      </c>
      <c r="H75" s="14" t="n">
        <v>0</v>
      </c>
      <c r="I75" s="14" t="inlineStr">
        <is>
          <t>OTROS SERVICIOS</t>
        </is>
      </c>
      <c r="J75" s="21">
        <f>G75-F75</f>
        <v/>
      </c>
      <c r="K75" s="22">
        <f>EOMONTH(B75,0)</f>
        <v/>
      </c>
      <c r="L75" s="22" t="inlineStr">
        <is>
          <t>Admin</t>
        </is>
      </c>
      <c r="M75" s="21" t="n"/>
    </row>
    <row r="76">
      <c r="A76" s="10" t="n">
        <v>132</v>
      </c>
      <c r="B76" s="11" t="n">
        <v>45689</v>
      </c>
      <c r="C76" s="12" t="inlineStr">
        <is>
          <t>G0001</t>
        </is>
      </c>
      <c r="D76" s="10" t="inlineStr">
        <is>
          <t>N/FRA. Nº G0001 KAIKOO GAMING, S.L.</t>
        </is>
      </c>
      <c r="E76" s="13" t="n">
        <v>70500000002</v>
      </c>
      <c r="F76" s="14" t="n">
        <v>0</v>
      </c>
      <c r="G76" s="14" t="n">
        <v>306.2677444102402</v>
      </c>
      <c r="H76" s="14" t="n">
        <v>0</v>
      </c>
      <c r="I76" s="14" t="inlineStr">
        <is>
          <t>ASESORAMIENTO TRIBUTARIO</t>
        </is>
      </c>
      <c r="J76" s="21">
        <f>G76-F76</f>
        <v/>
      </c>
      <c r="K76" s="22">
        <f>EOMONTH(B76,0)</f>
        <v/>
      </c>
      <c r="L76" s="22" t="inlineStr">
        <is>
          <t>Gestoría</t>
        </is>
      </c>
      <c r="M76" s="21" t="n"/>
    </row>
    <row r="77">
      <c r="A77" s="10" t="n">
        <v>133</v>
      </c>
      <c r="B77" s="11" t="n">
        <v>45689</v>
      </c>
      <c r="C77" s="12" t="inlineStr">
        <is>
          <t>SUPLIDO</t>
        </is>
      </c>
      <c r="D77" s="10" t="inlineStr">
        <is>
          <t>N/FRA. Nº SUPLIDO KAIKOO GAMING, S.L.</t>
        </is>
      </c>
      <c r="E77" s="13" t="n">
        <v>70500000002</v>
      </c>
      <c r="F77" s="14" t="n">
        <v>0</v>
      </c>
      <c r="G77" s="14" t="n">
        <v>55.01867988327823</v>
      </c>
      <c r="H77" s="14" t="n">
        <v>0</v>
      </c>
      <c r="I77" s="14" t="inlineStr">
        <is>
          <t>ASESORAMIENTO TRIBUTARIO</t>
        </is>
      </c>
      <c r="J77" s="21">
        <f>G77-F77</f>
        <v/>
      </c>
      <c r="K77" s="22">
        <f>EOMONTH(B77,0)</f>
        <v/>
      </c>
      <c r="L77" s="22" t="inlineStr">
        <is>
          <t>Gestoría</t>
        </is>
      </c>
      <c r="M77" s="21" t="n"/>
    </row>
    <row r="78">
      <c r="A78" s="10" t="n">
        <v>134</v>
      </c>
      <c r="B78" s="11" t="n">
        <v>45689</v>
      </c>
      <c r="C78" s="12" t="inlineStr">
        <is>
          <t>G0002</t>
        </is>
      </c>
      <c r="D78" s="10" t="inlineStr">
        <is>
          <t>N/FRA. Nº G0002 VIDOQUI REAL ESTATE, S.L.</t>
        </is>
      </c>
      <c r="E78" s="13" t="n">
        <v>70500000002</v>
      </c>
      <c r="F78" s="14" t="n">
        <v>0</v>
      </c>
      <c r="G78" s="14" t="n">
        <v>133.6017624696835</v>
      </c>
      <c r="H78" s="14" t="n">
        <v>0</v>
      </c>
      <c r="I78" s="14" t="inlineStr">
        <is>
          <t>ASESORAMIENTO TRIBUTARIO</t>
        </is>
      </c>
      <c r="J78" s="21">
        <f>G78-F78</f>
        <v/>
      </c>
      <c r="K78" s="22">
        <f>EOMONTH(B78,0)</f>
        <v/>
      </c>
      <c r="L78" s="22" t="inlineStr">
        <is>
          <t>Gestoría</t>
        </is>
      </c>
      <c r="M78" s="21" t="n"/>
    </row>
    <row r="79">
      <c r="A79" s="10" t="n">
        <v>135</v>
      </c>
      <c r="B79" s="11" t="n">
        <v>45689</v>
      </c>
      <c r="C79" s="12" t="inlineStr">
        <is>
          <t>G0003</t>
        </is>
      </c>
      <c r="D79" s="10" t="inlineStr">
        <is>
          <t>N/FRA. Nº G0003 FAFU REN</t>
        </is>
      </c>
      <c r="E79" s="13" t="n">
        <v>70500000002</v>
      </c>
      <c r="F79" s="14" t="n">
        <v>0</v>
      </c>
      <c r="G79" s="14" t="n">
        <v>289.8470710819535</v>
      </c>
      <c r="H79" s="14" t="n">
        <v>0</v>
      </c>
      <c r="I79" s="14" t="inlineStr">
        <is>
          <t>ASESORAMIENTO TRIBUTARIO</t>
        </is>
      </c>
      <c r="J79" s="21">
        <f>G79-F79</f>
        <v/>
      </c>
      <c r="K79" s="22">
        <f>EOMONTH(B79,0)</f>
        <v/>
      </c>
      <c r="L79" s="22" t="inlineStr">
        <is>
          <t>Gestoría</t>
        </is>
      </c>
      <c r="M79" s="21" t="n"/>
    </row>
    <row r="80">
      <c r="A80" s="10" t="n">
        <v>136</v>
      </c>
      <c r="B80" s="11" t="n">
        <v>45689</v>
      </c>
      <c r="C80" s="12" t="inlineStr">
        <is>
          <t>SUPLIDO</t>
        </is>
      </c>
      <c r="D80" s="10" t="inlineStr">
        <is>
          <t>N/FRA. Nº SUPLIDO FAFU REN</t>
        </is>
      </c>
      <c r="E80" s="13" t="n">
        <v>70500000002</v>
      </c>
      <c r="F80" s="14" t="n">
        <v>0</v>
      </c>
      <c r="G80" s="14" t="n">
        <v>40.17756194065844</v>
      </c>
      <c r="H80" s="14" t="n">
        <v>0</v>
      </c>
      <c r="I80" s="14" t="inlineStr">
        <is>
          <t>ASESORAMIENTO TRIBUTARIO</t>
        </is>
      </c>
      <c r="J80" s="21">
        <f>G80-F80</f>
        <v/>
      </c>
      <c r="K80" s="22">
        <f>EOMONTH(B80,0)</f>
        <v/>
      </c>
      <c r="L80" s="22" t="inlineStr">
        <is>
          <t>Gestoría</t>
        </is>
      </c>
      <c r="M80" s="21" t="n"/>
    </row>
    <row r="81">
      <c r="A81" s="10" t="n">
        <v>138</v>
      </c>
      <c r="B81" s="11" t="n">
        <v>45693</v>
      </c>
      <c r="C81" s="12" t="inlineStr">
        <is>
          <t>1909</t>
        </is>
      </c>
      <c r="D81" s="10" t="inlineStr">
        <is>
          <t>N/FRA. Nº 1909 EBURY PARTNERS UK LTD</t>
        </is>
      </c>
      <c r="E81" s="13" t="n">
        <v>70500000001</v>
      </c>
      <c r="F81" s="14" t="n">
        <v>0</v>
      </c>
      <c r="G81" s="14" t="n">
        <v>543.9409347012486</v>
      </c>
      <c r="H81" s="14" t="n">
        <v>0</v>
      </c>
      <c r="I81" s="14" t="inlineStr">
        <is>
          <t>INGRESOS SIN IVA - REFERIDOS</t>
        </is>
      </c>
      <c r="J81" s="21">
        <f>G81-F81</f>
        <v/>
      </c>
      <c r="K81" s="22">
        <f>EOMONTH(B81,0)</f>
        <v/>
      </c>
      <c r="L81" s="22" t="inlineStr">
        <is>
          <t>Other</t>
        </is>
      </c>
      <c r="M81" s="21" t="n"/>
    </row>
    <row r="82">
      <c r="A82" s="10" t="n">
        <v>141</v>
      </c>
      <c r="B82" s="11" t="n">
        <v>45689</v>
      </c>
      <c r="C82" s="12" t="inlineStr">
        <is>
          <t>0209</t>
        </is>
      </c>
      <c r="D82" s="10" t="inlineStr">
        <is>
          <t>S/FRA. Nº 0209 BERENGUELA &amp; TAXES, S.L.</t>
        </is>
      </c>
      <c r="E82" s="13" t="n">
        <v>62900000000</v>
      </c>
      <c r="F82" s="14" t="n">
        <v>170.6163584579451</v>
      </c>
      <c r="G82" s="14" t="n">
        <v>0</v>
      </c>
      <c r="H82" s="14" t="n">
        <v>0</v>
      </c>
      <c r="I82" s="14" t="inlineStr">
        <is>
          <t>OTROS SERVICIOS</t>
        </is>
      </c>
      <c r="J82" s="21">
        <f>G82-F82</f>
        <v/>
      </c>
      <c r="K82" s="22">
        <f>EOMONTH(B82,0)</f>
        <v/>
      </c>
      <c r="L82" s="22" t="inlineStr">
        <is>
          <t>Admin</t>
        </is>
      </c>
      <c r="M82" s="21" t="n"/>
    </row>
    <row r="83">
      <c r="A83" s="10" t="n">
        <v>142</v>
      </c>
      <c r="B83" s="11" t="n">
        <v>45689</v>
      </c>
      <c r="C83" s="12" t="inlineStr">
        <is>
          <t>0210</t>
        </is>
      </c>
      <c r="D83" s="10" t="inlineStr">
        <is>
          <t>S/FRA. Nº 0210 BERENGUELA &amp; TAXES, S.L.</t>
        </is>
      </c>
      <c r="E83" s="13" t="n">
        <v>62900000000</v>
      </c>
      <c r="F83" s="14" t="n">
        <v>464.3146620129169</v>
      </c>
      <c r="G83" s="14" t="n">
        <v>0</v>
      </c>
      <c r="H83" s="14" t="n">
        <v>0</v>
      </c>
      <c r="I83" s="14" t="inlineStr">
        <is>
          <t>OTROS SERVICIOS</t>
        </is>
      </c>
      <c r="J83" s="21">
        <f>G83-F83</f>
        <v/>
      </c>
      <c r="K83" s="22">
        <f>EOMONTH(B83,0)</f>
        <v/>
      </c>
      <c r="L83" s="22" t="inlineStr">
        <is>
          <t>Gestoría</t>
        </is>
      </c>
      <c r="M83" s="21" t="n"/>
    </row>
    <row r="84">
      <c r="A84" s="10" t="n">
        <v>143</v>
      </c>
      <c r="B84" s="11" t="n">
        <v>45689</v>
      </c>
      <c r="C84" s="12" t="inlineStr">
        <is>
          <t>SUPLIDO</t>
        </is>
      </c>
      <c r="D84" s="10" t="inlineStr">
        <is>
          <t>S/FRA. Nº SUPLIDO BERENGUELA &amp; TAXES, S.L.</t>
        </is>
      </c>
      <c r="E84" s="13" t="n">
        <v>62900000000</v>
      </c>
      <c r="F84" s="14" t="n">
        <v>8.377441655934794</v>
      </c>
      <c r="G84" s="14" t="n">
        <v>0</v>
      </c>
      <c r="H84" s="14" t="n">
        <v>0</v>
      </c>
      <c r="I84" s="14" t="inlineStr">
        <is>
          <t>OTROS SERVICIOS</t>
        </is>
      </c>
      <c r="J84" s="21">
        <f>G84-F84</f>
        <v/>
      </c>
      <c r="K84" s="22">
        <f>EOMONTH(B84,0)</f>
        <v/>
      </c>
      <c r="L84" s="22" t="inlineStr">
        <is>
          <t>Admin</t>
        </is>
      </c>
      <c r="M84" s="21" t="n"/>
    </row>
    <row r="85">
      <c r="A85" s="10" t="n">
        <v>144</v>
      </c>
      <c r="B85" s="11" t="n">
        <v>45689</v>
      </c>
      <c r="C85" s="12" t="inlineStr">
        <is>
          <t>0019</t>
        </is>
      </c>
      <c r="D85" s="10" t="inlineStr">
        <is>
          <t>S/FRA. Nº 0019 LA FABRICA COWORKING SL</t>
        </is>
      </c>
      <c r="E85" s="13" t="n">
        <v>621</v>
      </c>
      <c r="F85" s="14" t="n">
        <v>487.3473660920012</v>
      </c>
      <c r="G85" s="14" t="n">
        <v>0</v>
      </c>
      <c r="H85" s="14" t="n">
        <v>0</v>
      </c>
      <c r="I85" s="14" t="inlineStr">
        <is>
          <t>ARRENDAMIENTOS Y CANONES</t>
        </is>
      </c>
      <c r="J85" s="21">
        <f>G85-F85</f>
        <v/>
      </c>
      <c r="K85" s="22">
        <f>EOMONTH(B85,0)</f>
        <v/>
      </c>
      <c r="L85" s="22" t="inlineStr">
        <is>
          <t>Admin</t>
        </is>
      </c>
      <c r="M85" s="21" t="n"/>
    </row>
    <row r="86">
      <c r="A86" s="10" t="n">
        <v>145</v>
      </c>
      <c r="B86" s="11" t="n">
        <v>45692</v>
      </c>
      <c r="C86" s="12" t="inlineStr">
        <is>
          <t>TICKET</t>
        </is>
      </c>
      <c r="D86" s="10" t="inlineStr">
        <is>
          <t>S/FRA. Nº TICKET ACREEDORES POR PRESTACIÓN DE SERVICIOS</t>
        </is>
      </c>
      <c r="E86" s="13" t="n">
        <v>62900000000</v>
      </c>
      <c r="F86" s="14" t="n">
        <v>54.10862738833459</v>
      </c>
      <c r="G86" s="14" t="n">
        <v>0</v>
      </c>
      <c r="H86" s="14" t="n">
        <v>0</v>
      </c>
      <c r="I86" s="14" t="inlineStr">
        <is>
          <t>OTROS SERVICIOS</t>
        </is>
      </c>
      <c r="J86" s="21">
        <f>G86-F86</f>
        <v/>
      </c>
      <c r="K86" s="22">
        <f>EOMONTH(B86,0)</f>
        <v/>
      </c>
      <c r="L86" s="22" t="inlineStr">
        <is>
          <t>Admin</t>
        </is>
      </c>
      <c r="M86" s="21" t="n"/>
    </row>
    <row r="87">
      <c r="A87" s="10" t="n">
        <v>165</v>
      </c>
      <c r="B87" s="11" t="n">
        <v>45703</v>
      </c>
      <c r="C87" s="12" t="inlineStr"/>
      <c r="D87" s="10" t="inlineStr">
        <is>
          <t>EBURY CAIXABANK 9463</t>
        </is>
      </c>
      <c r="E87" s="13" t="n">
        <v>626</v>
      </c>
      <c r="F87" s="14" t="n">
        <v>3.90516933616471</v>
      </c>
      <c r="G87" s="14" t="n">
        <v>0</v>
      </c>
      <c r="H87" s="14" t="n">
        <v>0</v>
      </c>
      <c r="I87" s="14" t="inlineStr">
        <is>
          <t>SERVICIOS BANCARIOS Y SIMILARES</t>
        </is>
      </c>
      <c r="J87" s="21">
        <f>G87-F87</f>
        <v/>
      </c>
      <c r="K87" s="22">
        <f>EOMONTH(B87,0)</f>
        <v/>
      </c>
      <c r="L87" s="22" t="inlineStr">
        <is>
          <t>Admin</t>
        </is>
      </c>
      <c r="M87" s="21" t="n"/>
    </row>
    <row r="88">
      <c r="A88" s="10" t="n">
        <v>167</v>
      </c>
      <c r="B88" s="11" t="n">
        <v>45712</v>
      </c>
      <c r="C88" s="12" t="inlineStr">
        <is>
          <t>6666</t>
        </is>
      </c>
      <c r="D88" s="10" t="inlineStr">
        <is>
          <t>S/FRA. Nº 6666 SHIFT TECHNOLOGIES INC</t>
        </is>
      </c>
      <c r="E88" s="13" t="n">
        <v>62900000000</v>
      </c>
      <c r="F88" s="14" t="n">
        <v>203.6351699119699</v>
      </c>
      <c r="G88" s="14" t="n">
        <v>0</v>
      </c>
      <c r="H88" s="14" t="n">
        <v>0</v>
      </c>
      <c r="I88" s="14" t="inlineStr">
        <is>
          <t>OTROS SERVICIOS</t>
        </is>
      </c>
      <c r="J88" s="21">
        <f>G88-F88</f>
        <v/>
      </c>
      <c r="K88" s="22">
        <f>EOMONTH(B88,0)</f>
        <v/>
      </c>
      <c r="L88" s="22" t="inlineStr">
        <is>
          <t>IT</t>
        </is>
      </c>
      <c r="M88" s="21" t="n"/>
    </row>
    <row r="89">
      <c r="A89" s="10" t="n">
        <v>168</v>
      </c>
      <c r="B89" s="11" t="n">
        <v>45713</v>
      </c>
      <c r="C89" s="12" t="inlineStr">
        <is>
          <t>M3JT</t>
        </is>
      </c>
      <c r="D89" s="10" t="inlineStr">
        <is>
          <t>S/FRA. Nº M3JT MICROSOFT IRLAND OPERATIONS LTD</t>
        </is>
      </c>
      <c r="E89" s="13" t="n">
        <v>62900000000</v>
      </c>
      <c r="F89" s="14" t="n">
        <v>58.76934296159147</v>
      </c>
      <c r="G89" s="14" t="n">
        <v>0</v>
      </c>
      <c r="H89" s="14" t="n">
        <v>0</v>
      </c>
      <c r="I89" s="14" t="inlineStr">
        <is>
          <t>OTROS SERVICIOS</t>
        </is>
      </c>
      <c r="J89" s="21">
        <f>G89-F89</f>
        <v/>
      </c>
      <c r="K89" s="22">
        <f>EOMONTH(B89,0)</f>
        <v/>
      </c>
      <c r="L89" s="22" t="inlineStr">
        <is>
          <t>IT</t>
        </is>
      </c>
      <c r="M89" s="21" t="n"/>
    </row>
    <row r="90">
      <c r="A90" s="10" t="n">
        <v>169</v>
      </c>
      <c r="B90" s="11" t="n">
        <v>45714</v>
      </c>
      <c r="C90" s="12" t="inlineStr">
        <is>
          <t>0225</t>
        </is>
      </c>
      <c r="D90" s="10" t="inlineStr">
        <is>
          <t>S/FRA. Nº 0225 REFRUITING,S.L</t>
        </is>
      </c>
      <c r="E90" s="13" t="n">
        <v>62900000000</v>
      </c>
      <c r="F90" s="14" t="n">
        <v>39.90448294039508</v>
      </c>
      <c r="G90" s="14" t="n">
        <v>0</v>
      </c>
      <c r="H90" s="14" t="n">
        <v>0</v>
      </c>
      <c r="I90" s="14" t="inlineStr">
        <is>
          <t>OTROS SERVICIOS</t>
        </is>
      </c>
      <c r="J90" s="21">
        <f>G90-F90</f>
        <v/>
      </c>
      <c r="K90" s="22">
        <f>EOMONTH(B90,0)</f>
        <v/>
      </c>
      <c r="L90" s="22" t="inlineStr">
        <is>
          <t>Admin</t>
        </is>
      </c>
      <c r="M90" s="21" t="n"/>
    </row>
    <row r="91">
      <c r="A91" s="10" t="n">
        <v>170</v>
      </c>
      <c r="B91" s="11" t="n">
        <v>45710</v>
      </c>
      <c r="C91" s="12" t="inlineStr">
        <is>
          <t>0024</t>
        </is>
      </c>
      <c r="D91" s="10" t="inlineStr">
        <is>
          <t>N/FRA. Nº 0024 BERENGUELA &amp; TAXES SLP</t>
        </is>
      </c>
      <c r="E91" s="13" t="n">
        <v>70500000000</v>
      </c>
      <c r="F91" s="14" t="n">
        <v>0</v>
      </c>
      <c r="G91" s="14" t="n">
        <v>1954.246774506398</v>
      </c>
      <c r="H91" s="14" t="n">
        <v>0</v>
      </c>
      <c r="I91" s="14" t="inlineStr">
        <is>
          <t>PRESTACIONES DE SERVICIOS</t>
        </is>
      </c>
      <c r="J91" s="21">
        <f>G91-F91</f>
        <v/>
      </c>
      <c r="K91" s="22">
        <f>EOMONTH(B91,0)</f>
        <v/>
      </c>
      <c r="L91" s="22" t="inlineStr">
        <is>
          <t>Gestoría</t>
        </is>
      </c>
      <c r="M91" s="21" t="n"/>
    </row>
    <row r="92">
      <c r="A92" s="10" t="n">
        <v>171</v>
      </c>
      <c r="B92" s="11" t="n">
        <v>45711</v>
      </c>
      <c r="C92" s="12" t="inlineStr">
        <is>
          <t>0025</t>
        </is>
      </c>
      <c r="D92" s="10" t="inlineStr">
        <is>
          <t>N/FRA. Nº 0025 INTELECTIUM CONSULTING, SL</t>
        </is>
      </c>
      <c r="E92" s="13" t="n">
        <v>70500000000</v>
      </c>
      <c r="F92" s="14" t="n">
        <v>0</v>
      </c>
      <c r="G92" s="14" t="n">
        <v>1454.781904583299</v>
      </c>
      <c r="H92" s="14" t="n">
        <v>0</v>
      </c>
      <c r="I92" s="14" t="inlineStr">
        <is>
          <t>PRESTACIONES DE SERVICIOS</t>
        </is>
      </c>
      <c r="J92" s="21">
        <f>G92-F92</f>
        <v/>
      </c>
      <c r="K92" s="22">
        <f>EOMONTH(B92,0)</f>
        <v/>
      </c>
      <c r="L92" s="22" t="inlineStr">
        <is>
          <t>Intelectium</t>
        </is>
      </c>
      <c r="M92" s="21" t="n"/>
    </row>
    <row r="93">
      <c r="A93" s="10" t="n">
        <v>172</v>
      </c>
      <c r="B93" s="11" t="n">
        <v>45711</v>
      </c>
      <c r="C93" s="12" t="inlineStr">
        <is>
          <t>0026</t>
        </is>
      </c>
      <c r="D93" s="10" t="inlineStr">
        <is>
          <t>N/FRA. Nº 0026 INTELECTIUM FUNDING ACCELERATOR MADRID SL</t>
        </is>
      </c>
      <c r="E93" s="13" t="n">
        <v>70500000000</v>
      </c>
      <c r="F93" s="14" t="n">
        <v>0</v>
      </c>
      <c r="G93" s="14" t="n">
        <v>7503.763810860847</v>
      </c>
      <c r="H93" s="14" t="n">
        <v>0</v>
      </c>
      <c r="I93" s="14" t="inlineStr">
        <is>
          <t>PRESTACIONES DE SERVICIOS</t>
        </is>
      </c>
      <c r="J93" s="21">
        <f>G93-F93</f>
        <v/>
      </c>
      <c r="K93" s="22">
        <f>EOMONTH(B93,0)</f>
        <v/>
      </c>
      <c r="L93" s="22" t="inlineStr">
        <is>
          <t>Intelectium</t>
        </is>
      </c>
      <c r="M93" s="21" t="n"/>
    </row>
    <row r="94">
      <c r="A94" s="10" t="n">
        <v>173</v>
      </c>
      <c r="B94" s="11" t="n">
        <v>45713</v>
      </c>
      <c r="C94" s="12" t="inlineStr">
        <is>
          <t>0027</t>
        </is>
      </c>
      <c r="D94" s="10" t="inlineStr">
        <is>
          <t>N/FRA. Nº 0027 PERK FINANCE SL</t>
        </is>
      </c>
      <c r="E94" s="13" t="n">
        <v>70500000000</v>
      </c>
      <c r="F94" s="14" t="n">
        <v>0</v>
      </c>
      <c r="G94" s="14" t="n">
        <v>2435.930118044215</v>
      </c>
      <c r="H94" s="14" t="n">
        <v>0</v>
      </c>
      <c r="I94" s="14" t="inlineStr">
        <is>
          <t>PRESTACIONES DE SERVICIOS</t>
        </is>
      </c>
      <c r="J94" s="21">
        <f>G94-F94</f>
        <v/>
      </c>
      <c r="K94" s="22">
        <f>EOMONTH(B94,0)</f>
        <v/>
      </c>
      <c r="L94" s="22" t="inlineStr">
        <is>
          <t>CFO</t>
        </is>
      </c>
      <c r="M94" s="21" t="n"/>
    </row>
    <row r="95">
      <c r="A95" s="10" t="n">
        <v>174</v>
      </c>
      <c r="B95" s="11" t="n">
        <v>45713</v>
      </c>
      <c r="C95" s="12" t="inlineStr">
        <is>
          <t>0028</t>
        </is>
      </c>
      <c r="D95" s="10" t="inlineStr">
        <is>
          <t>N/FRA. Nº 0028 GEOBLINK SL</t>
        </is>
      </c>
      <c r="E95" s="13" t="n">
        <v>70500000000</v>
      </c>
      <c r="F95" s="14" t="n">
        <v>0</v>
      </c>
      <c r="G95" s="14" t="n">
        <v>1328.886479214421</v>
      </c>
      <c r="H95" s="14" t="n">
        <v>0</v>
      </c>
      <c r="I95" s="14" t="inlineStr">
        <is>
          <t>PRESTACIONES DE SERVICIOS</t>
        </is>
      </c>
      <c r="J95" s="21">
        <f>G95-F95</f>
        <v/>
      </c>
      <c r="K95" s="22">
        <f>EOMONTH(B95,0)</f>
        <v/>
      </c>
      <c r="L95" s="22" t="inlineStr">
        <is>
          <t>CFO</t>
        </is>
      </c>
      <c r="M95" s="21" t="n"/>
    </row>
    <row r="96">
      <c r="A96" s="10" t="n">
        <v>175</v>
      </c>
      <c r="B96" s="11" t="n">
        <v>45713</v>
      </c>
      <c r="C96" s="12" t="inlineStr">
        <is>
          <t>0029</t>
        </is>
      </c>
      <c r="D96" s="10" t="inlineStr">
        <is>
          <t>N/FRA. Nº 0029 DINERO GELT</t>
        </is>
      </c>
      <c r="E96" s="13" t="n">
        <v>70500000000</v>
      </c>
      <c r="F96" s="14" t="n">
        <v>0</v>
      </c>
      <c r="G96" s="14" t="n">
        <v>3608.08797111893</v>
      </c>
      <c r="H96" s="14" t="n">
        <v>0</v>
      </c>
      <c r="I96" s="14" t="inlineStr">
        <is>
          <t>PRESTACIONES DE SERVICIOS</t>
        </is>
      </c>
      <c r="J96" s="21">
        <f>G96-F96</f>
        <v/>
      </c>
      <c r="K96" s="22">
        <f>EOMONTH(B96,0)</f>
        <v/>
      </c>
      <c r="L96" s="22" t="inlineStr">
        <is>
          <t>CFO</t>
        </is>
      </c>
      <c r="M96" s="21" t="n"/>
    </row>
    <row r="97">
      <c r="A97" s="10" t="n">
        <v>176</v>
      </c>
      <c r="B97" s="11" t="n">
        <v>45713</v>
      </c>
      <c r="C97" s="12" t="inlineStr">
        <is>
          <t>0030</t>
        </is>
      </c>
      <c r="D97" s="10" t="inlineStr">
        <is>
          <t>N/FRA. Nº 0030 GELT CASH TRANSFER S.L.U.</t>
        </is>
      </c>
      <c r="E97" s="13" t="n">
        <v>70500000000</v>
      </c>
      <c r="F97" s="14" t="n">
        <v>0</v>
      </c>
      <c r="G97" s="14" t="n">
        <v>1702.868837488334</v>
      </c>
      <c r="H97" s="14" t="n">
        <v>0</v>
      </c>
      <c r="I97" s="14" t="inlineStr">
        <is>
          <t>PRESTACIONES DE SERVICIOS</t>
        </is>
      </c>
      <c r="J97" s="21">
        <f>G97-F97</f>
        <v/>
      </c>
      <c r="K97" s="22">
        <f>EOMONTH(B97,0)</f>
        <v/>
      </c>
      <c r="L97" s="22" t="inlineStr">
        <is>
          <t>CFO</t>
        </is>
      </c>
      <c r="M97" s="21" t="n"/>
    </row>
    <row r="98">
      <c r="A98" s="10" t="n">
        <v>177</v>
      </c>
      <c r="B98" s="11" t="n">
        <v>45713</v>
      </c>
      <c r="C98" s="12" t="inlineStr">
        <is>
          <t>0031</t>
        </is>
      </c>
      <c r="D98" s="10" t="inlineStr">
        <is>
          <t>N/FRA. Nº 0031 PROSEGUR CUSTODIA DE ACTIVOS DIGITALES S.L.</t>
        </is>
      </c>
      <c r="E98" s="13" t="n">
        <v>70500000000</v>
      </c>
      <c r="F98" s="14" t="n">
        <v>0</v>
      </c>
      <c r="G98" s="14" t="n">
        <v>1950.274027395777</v>
      </c>
      <c r="H98" s="14" t="n">
        <v>0</v>
      </c>
      <c r="I98" s="14" t="inlineStr">
        <is>
          <t>PRESTACIONES DE SERVICIOS</t>
        </is>
      </c>
      <c r="J98" s="21">
        <f>G98-F98</f>
        <v/>
      </c>
      <c r="K98" s="22">
        <f>EOMONTH(B98,0)</f>
        <v/>
      </c>
      <c r="L98" s="22" t="inlineStr">
        <is>
          <t>CFO</t>
        </is>
      </c>
      <c r="M98" s="21" t="n"/>
    </row>
    <row r="99">
      <c r="A99" s="10" t="n">
        <v>178</v>
      </c>
      <c r="B99" s="11" t="n">
        <v>45713</v>
      </c>
      <c r="C99" s="12" t="inlineStr">
        <is>
          <t>0033</t>
        </is>
      </c>
      <c r="D99" s="10" t="inlineStr">
        <is>
          <t>N/FRA. Nº 0033 GELT BRASIL CONSLTORIA EM TECNOLOGIA DA INFORMAÇAO</t>
        </is>
      </c>
      <c r="E99" s="13" t="n">
        <v>70500000000</v>
      </c>
      <c r="F99" s="14" t="n">
        <v>0</v>
      </c>
      <c r="G99" s="14" t="n">
        <v>617.8332959599089</v>
      </c>
      <c r="H99" s="14" t="n">
        <v>0</v>
      </c>
      <c r="I99" s="14" t="inlineStr">
        <is>
          <t>PRESTACIONES DE SERVICIOS</t>
        </is>
      </c>
      <c r="J99" s="21">
        <f>G99-F99</f>
        <v/>
      </c>
      <c r="K99" s="22">
        <f>EOMONTH(B99,0)</f>
        <v/>
      </c>
      <c r="L99" s="22" t="inlineStr">
        <is>
          <t>CFO</t>
        </is>
      </c>
      <c r="M99" s="21" t="n"/>
    </row>
    <row r="100">
      <c r="A100" s="10" t="n">
        <v>179</v>
      </c>
      <c r="B100" s="11" t="n">
        <v>45713</v>
      </c>
      <c r="C100" s="12" t="inlineStr">
        <is>
          <t>0032</t>
        </is>
      </c>
      <c r="D100" s="10" t="inlineStr">
        <is>
          <t>N/FRA. Nº 0032 ALPHA3 CASHLABS SL.</t>
        </is>
      </c>
      <c r="E100" s="13" t="n">
        <v>70500000000</v>
      </c>
      <c r="F100" s="14" t="n">
        <v>0</v>
      </c>
      <c r="G100" s="14" t="n">
        <v>768.9946894955419</v>
      </c>
      <c r="H100" s="14" t="n">
        <v>0</v>
      </c>
      <c r="I100" s="14" t="inlineStr">
        <is>
          <t>PRESTACIONES DE SERVICIOS</t>
        </is>
      </c>
      <c r="J100" s="21">
        <f>G100-F100</f>
        <v/>
      </c>
      <c r="K100" s="22">
        <f>EOMONTH(B100,0)</f>
        <v/>
      </c>
      <c r="L100" s="22" t="inlineStr">
        <is>
          <t>CFO</t>
        </is>
      </c>
      <c r="M100" s="21" t="n"/>
    </row>
    <row r="101">
      <c r="A101" s="10" t="n">
        <v>180</v>
      </c>
      <c r="B101" s="11" t="n">
        <v>45713</v>
      </c>
      <c r="C101" s="12" t="inlineStr">
        <is>
          <t>0034</t>
        </is>
      </c>
      <c r="D101" s="10" t="inlineStr">
        <is>
          <t>N/FRA. Nº 0034 USIZY SL</t>
        </is>
      </c>
      <c r="E101" s="13" t="n">
        <v>70500000000</v>
      </c>
      <c r="F101" s="14" t="n">
        <v>0</v>
      </c>
      <c r="G101" s="14" t="n">
        <v>2078.225668973972</v>
      </c>
      <c r="H101" s="14" t="n">
        <v>0</v>
      </c>
      <c r="I101" s="14" t="inlineStr">
        <is>
          <t>PRESTACIONES DE SERVICIOS</t>
        </is>
      </c>
      <c r="J101" s="21">
        <f>G101-F101</f>
        <v/>
      </c>
      <c r="K101" s="22">
        <f>EOMONTH(B101,0)</f>
        <v/>
      </c>
      <c r="L101" s="22" t="inlineStr">
        <is>
          <t>CFO</t>
        </is>
      </c>
      <c r="M101" s="21" t="n"/>
    </row>
    <row r="102">
      <c r="A102" s="10" t="n">
        <v>181</v>
      </c>
      <c r="B102" s="11" t="n">
        <v>45713</v>
      </c>
      <c r="C102" s="12" t="inlineStr">
        <is>
          <t>0035</t>
        </is>
      </c>
      <c r="D102" s="10" t="inlineStr">
        <is>
          <t>N/FRA. Nº 0035 NORAREALFOOD SL</t>
        </is>
      </c>
      <c r="E102" s="13" t="n">
        <v>70500000000</v>
      </c>
      <c r="F102" s="14" t="n">
        <v>0</v>
      </c>
      <c r="G102" s="14" t="n">
        <v>3398.137518938843</v>
      </c>
      <c r="H102" s="14" t="n">
        <v>0</v>
      </c>
      <c r="I102" s="14" t="inlineStr">
        <is>
          <t>PRESTACIONES DE SERVICIOS</t>
        </is>
      </c>
      <c r="J102" s="21">
        <f>G102-F102</f>
        <v/>
      </c>
      <c r="K102" s="22">
        <f>EOMONTH(B102,0)</f>
        <v/>
      </c>
      <c r="L102" s="22" t="inlineStr">
        <is>
          <t>CFO</t>
        </is>
      </c>
      <c r="M102" s="21" t="n"/>
    </row>
    <row r="103">
      <c r="A103" s="10" t="n">
        <v>182</v>
      </c>
      <c r="B103" s="11" t="n">
        <v>45713</v>
      </c>
      <c r="C103" s="12" t="inlineStr">
        <is>
          <t>0036</t>
        </is>
      </c>
      <c r="D103" s="10" t="inlineStr">
        <is>
          <t>N/FRA. Nº 0036 IDOVEN 1903, S.L.</t>
        </is>
      </c>
      <c r="E103" s="13" t="n">
        <v>70500000000</v>
      </c>
      <c r="F103" s="14" t="n">
        <v>0</v>
      </c>
      <c r="G103" s="14" t="n">
        <v>559.8491929127118</v>
      </c>
      <c r="H103" s="14" t="n">
        <v>0</v>
      </c>
      <c r="I103" s="14" t="inlineStr">
        <is>
          <t>PRESTACIONES DE SERVICIOS</t>
        </is>
      </c>
      <c r="J103" s="21">
        <f>G103-F103</f>
        <v/>
      </c>
      <c r="K103" s="22">
        <f>EOMONTH(B103,0)</f>
        <v/>
      </c>
      <c r="L103" s="22" t="inlineStr">
        <is>
          <t>CFO</t>
        </is>
      </c>
      <c r="M103" s="21" t="n"/>
    </row>
    <row r="104">
      <c r="A104" s="10" t="n">
        <v>183</v>
      </c>
      <c r="B104" s="11" t="n">
        <v>45713</v>
      </c>
      <c r="C104" s="12" t="inlineStr">
        <is>
          <t>0037</t>
        </is>
      </c>
      <c r="D104" s="10" t="inlineStr">
        <is>
          <t>N/FRA. Nº 0037 WHEELS LABS INC</t>
        </is>
      </c>
      <c r="E104" s="13" t="n">
        <v>70500000000</v>
      </c>
      <c r="F104" s="14" t="n">
        <v>0</v>
      </c>
      <c r="G104" s="14" t="n">
        <v>455.4063217069341</v>
      </c>
      <c r="H104" s="14" t="n">
        <v>0</v>
      </c>
      <c r="I104" s="14" t="inlineStr">
        <is>
          <t>PRESTACIONES DE SERVICIOS</t>
        </is>
      </c>
      <c r="J104" s="21">
        <f>G104-F104</f>
        <v/>
      </c>
      <c r="K104" s="22">
        <f>EOMONTH(B104,0)</f>
        <v/>
      </c>
      <c r="L104" s="22" t="inlineStr">
        <is>
          <t>CFO</t>
        </is>
      </c>
      <c r="M104" s="21" t="n"/>
    </row>
    <row r="105">
      <c r="A105" s="10" t="n">
        <v>184</v>
      </c>
      <c r="B105" s="11" t="n">
        <v>45713</v>
      </c>
      <c r="C105" s="12" t="inlineStr">
        <is>
          <t>0038</t>
        </is>
      </c>
      <c r="D105" s="10" t="inlineStr">
        <is>
          <t>N/FRA. Nº 0038 ROI PERFORMANCE MEDIA S.L</t>
        </is>
      </c>
      <c r="E105" s="13" t="n">
        <v>70500000000</v>
      </c>
      <c r="F105" s="14" t="n">
        <v>0</v>
      </c>
      <c r="G105" s="14" t="n">
        <v>2466.720347454094</v>
      </c>
      <c r="H105" s="14" t="n">
        <v>0</v>
      </c>
      <c r="I105" s="14" t="inlineStr">
        <is>
          <t>PRESTACIONES DE SERVICIOS</t>
        </is>
      </c>
      <c r="J105" s="21">
        <f>G105-F105</f>
        <v/>
      </c>
      <c r="K105" s="22">
        <f>EOMONTH(B105,0)</f>
        <v/>
      </c>
      <c r="L105" s="22" t="inlineStr">
        <is>
          <t>CFO</t>
        </is>
      </c>
      <c r="M105" s="21" t="n"/>
    </row>
    <row r="106">
      <c r="A106" s="10" t="n">
        <v>185</v>
      </c>
      <c r="B106" s="11" t="n">
        <v>45713</v>
      </c>
      <c r="C106" s="12" t="inlineStr">
        <is>
          <t>0039</t>
        </is>
      </c>
      <c r="D106" s="10" t="inlineStr">
        <is>
          <t>N/FRA. Nº 0039 VALIDATED ID SL</t>
        </is>
      </c>
      <c r="E106" s="13" t="n">
        <v>70500000000</v>
      </c>
      <c r="F106" s="14" t="n">
        <v>0</v>
      </c>
      <c r="G106" s="14" t="n">
        <v>837.1960410138706</v>
      </c>
      <c r="H106" s="14" t="n">
        <v>0</v>
      </c>
      <c r="I106" s="14" t="inlineStr">
        <is>
          <t>PRESTACIONES DE SERVICIOS</t>
        </is>
      </c>
      <c r="J106" s="21">
        <f>G106-F106</f>
        <v/>
      </c>
      <c r="K106" s="22">
        <f>EOMONTH(B106,0)</f>
        <v/>
      </c>
      <c r="L106" s="22" t="inlineStr">
        <is>
          <t>CFO</t>
        </is>
      </c>
      <c r="M106" s="21" t="n"/>
    </row>
    <row r="107">
      <c r="A107" s="10" t="n">
        <v>186</v>
      </c>
      <c r="B107" s="11" t="n">
        <v>45713</v>
      </c>
      <c r="C107" s="12" t="inlineStr">
        <is>
          <t>0040</t>
        </is>
      </c>
      <c r="D107" s="10" t="inlineStr">
        <is>
          <t>N/FRA. Nº 0040 GRAPHEXT LABS, S.L.</t>
        </is>
      </c>
      <c r="E107" s="13" t="n">
        <v>70500000000</v>
      </c>
      <c r="F107" s="14" t="n">
        <v>0</v>
      </c>
      <c r="G107" s="14" t="n">
        <v>1906.218043753028</v>
      </c>
      <c r="H107" s="14" t="n">
        <v>0</v>
      </c>
      <c r="I107" s="14" t="inlineStr">
        <is>
          <t>PRESTACIONES DE SERVICIOS</t>
        </is>
      </c>
      <c r="J107" s="21">
        <f>G107-F107</f>
        <v/>
      </c>
      <c r="K107" s="22">
        <f>EOMONTH(B107,0)</f>
        <v/>
      </c>
      <c r="L107" s="22" t="inlineStr">
        <is>
          <t>CFO</t>
        </is>
      </c>
      <c r="M107" s="21" t="n"/>
    </row>
    <row r="108">
      <c r="A108" s="10" t="n">
        <v>188</v>
      </c>
      <c r="B108" s="11" t="n">
        <v>45713</v>
      </c>
      <c r="C108" s="12" t="inlineStr">
        <is>
          <t>0042</t>
        </is>
      </c>
      <c r="D108" s="10" t="inlineStr">
        <is>
          <t>N/FRA. Nº 0042 MEDICINAL GARDENS SL</t>
        </is>
      </c>
      <c r="E108" s="13" t="n">
        <v>70500000000</v>
      </c>
      <c r="F108" s="14" t="n">
        <v>0</v>
      </c>
      <c r="G108" s="14" t="n">
        <v>538.1285221171299</v>
      </c>
      <c r="H108" s="14" t="n">
        <v>0</v>
      </c>
      <c r="I108" s="14" t="inlineStr">
        <is>
          <t>PRESTACIONES DE SERVICIOS</t>
        </is>
      </c>
      <c r="J108" s="21">
        <f>G108-F108</f>
        <v/>
      </c>
      <c r="K108" s="22">
        <f>EOMONTH(B108,0)</f>
        <v/>
      </c>
      <c r="L108" s="22" t="inlineStr">
        <is>
          <t>CFO</t>
        </is>
      </c>
      <c r="M108" s="21" t="n"/>
    </row>
    <row r="109">
      <c r="A109" s="10" t="n">
        <v>189</v>
      </c>
      <c r="B109" s="11" t="n">
        <v>45713</v>
      </c>
      <c r="C109" s="12" t="inlineStr">
        <is>
          <t>0043</t>
        </is>
      </c>
      <c r="D109" s="10" t="inlineStr">
        <is>
          <t>N/FRA. Nº 0043 CLARITY AI EUROPE S.L.U.</t>
        </is>
      </c>
      <c r="E109" s="13" t="n">
        <v>70500000000</v>
      </c>
      <c r="F109" s="14" t="n">
        <v>0</v>
      </c>
      <c r="G109" s="14" t="n">
        <v>1842.067868197215</v>
      </c>
      <c r="H109" s="14" t="n">
        <v>0</v>
      </c>
      <c r="I109" s="14" t="inlineStr">
        <is>
          <t>PRESTACIONES DE SERVICIOS</t>
        </is>
      </c>
      <c r="J109" s="21">
        <f>G109-F109</f>
        <v/>
      </c>
      <c r="K109" s="22">
        <f>EOMONTH(B109,0)</f>
        <v/>
      </c>
      <c r="L109" s="22" t="inlineStr">
        <is>
          <t>CFO</t>
        </is>
      </c>
      <c r="M109" s="21" t="n"/>
    </row>
    <row r="110">
      <c r="A110" s="10" t="n">
        <v>190</v>
      </c>
      <c r="B110" s="11" t="n">
        <v>45713</v>
      </c>
      <c r="C110" s="12" t="inlineStr">
        <is>
          <t>0044</t>
        </is>
      </c>
      <c r="D110" s="10" t="inlineStr">
        <is>
          <t>N/FRA. Nº 0044 AGROSINGULARITY SL</t>
        </is>
      </c>
      <c r="E110" s="13" t="n">
        <v>70500000000</v>
      </c>
      <c r="F110" s="14" t="n">
        <v>0</v>
      </c>
      <c r="G110" s="14" t="n">
        <v>2411.323377821529</v>
      </c>
      <c r="H110" s="14" t="n">
        <v>0</v>
      </c>
      <c r="I110" s="14" t="inlineStr">
        <is>
          <t>PRESTACIONES DE SERVICIOS</t>
        </is>
      </c>
      <c r="J110" s="21">
        <f>G110-F110</f>
        <v/>
      </c>
      <c r="K110" s="22">
        <f>EOMONTH(B110,0)</f>
        <v/>
      </c>
      <c r="L110" s="22" t="inlineStr">
        <is>
          <t>CFO</t>
        </is>
      </c>
      <c r="M110" s="21" t="n"/>
    </row>
    <row r="111">
      <c r="A111" s="10" t="n">
        <v>191</v>
      </c>
      <c r="B111" s="11" t="n">
        <v>45713</v>
      </c>
      <c r="C111" s="12" t="inlineStr">
        <is>
          <t>0045</t>
        </is>
      </c>
      <c r="D111" s="10" t="inlineStr">
        <is>
          <t>N/FRA. Nº 0045 NGLOBAL HOLDING AB</t>
        </is>
      </c>
      <c r="E111" s="13" t="n">
        <v>70500000000</v>
      </c>
      <c r="F111" s="14" t="n">
        <v>0</v>
      </c>
      <c r="G111" s="14" t="n">
        <v>301.9927931937972</v>
      </c>
      <c r="H111" s="14" t="n">
        <v>0</v>
      </c>
      <c r="I111" s="14" t="inlineStr">
        <is>
          <t>PRESTACIONES DE SERVICIOS</t>
        </is>
      </c>
      <c r="J111" s="21">
        <f>G111-F111</f>
        <v/>
      </c>
      <c r="K111" s="22">
        <f>EOMONTH(B111,0)</f>
        <v/>
      </c>
      <c r="L111" s="22" t="inlineStr">
        <is>
          <t>CFO</t>
        </is>
      </c>
      <c r="M111" s="21" t="n"/>
    </row>
    <row r="112">
      <c r="A112" s="10" t="n">
        <v>192</v>
      </c>
      <c r="B112" s="11" t="n">
        <v>45713</v>
      </c>
      <c r="C112" s="12" t="inlineStr">
        <is>
          <t>0046</t>
        </is>
      </c>
      <c r="D112" s="10" t="inlineStr">
        <is>
          <t>N/FRA. Nº 0046 NUBENTOS THE API MARKETPLACE FOR HEALTH, SL</t>
        </is>
      </c>
      <c r="E112" s="13" t="n">
        <v>70500000000</v>
      </c>
      <c r="F112" s="14" t="n">
        <v>0</v>
      </c>
      <c r="G112" s="14" t="n">
        <v>526.1797936938826</v>
      </c>
      <c r="H112" s="14" t="n">
        <v>0</v>
      </c>
      <c r="I112" s="14" t="inlineStr">
        <is>
          <t>PRESTACIONES DE SERVICIOS</t>
        </is>
      </c>
      <c r="J112" s="21">
        <f>G112-F112</f>
        <v/>
      </c>
      <c r="K112" s="22">
        <f>EOMONTH(B112,0)</f>
        <v/>
      </c>
      <c r="L112" s="22" t="inlineStr">
        <is>
          <t>CFO</t>
        </is>
      </c>
      <c r="M112" s="21" t="n"/>
    </row>
    <row r="113">
      <c r="A113" s="10" t="n">
        <v>193</v>
      </c>
      <c r="B113" s="11" t="n">
        <v>45713</v>
      </c>
      <c r="C113" s="12" t="inlineStr">
        <is>
          <t>0047</t>
        </is>
      </c>
      <c r="D113" s="10" t="inlineStr">
        <is>
          <t>N/FRA. Nº 0047 BILD38 GMBH</t>
        </is>
      </c>
      <c r="E113" s="13" t="n">
        <v>70500000000</v>
      </c>
      <c r="F113" s="14" t="n">
        <v>0</v>
      </c>
      <c r="G113" s="14" t="n">
        <v>87.55501274482845</v>
      </c>
      <c r="H113" s="14" t="n">
        <v>0</v>
      </c>
      <c r="I113" s="14" t="inlineStr">
        <is>
          <t>PRESTACIONES DE SERVICIOS</t>
        </is>
      </c>
      <c r="J113" s="21">
        <f>G113-F113</f>
        <v/>
      </c>
      <c r="K113" s="22">
        <f>EOMONTH(B113,0)</f>
        <v/>
      </c>
      <c r="L113" s="22" t="inlineStr">
        <is>
          <t>CFO</t>
        </is>
      </c>
      <c r="M113" s="21" t="n"/>
    </row>
    <row r="114">
      <c r="A114" s="10" t="n">
        <v>194</v>
      </c>
      <c r="B114" s="11" t="n">
        <v>45713</v>
      </c>
      <c r="C114" s="12" t="inlineStr">
        <is>
          <t>0048</t>
        </is>
      </c>
      <c r="D114" s="10" t="inlineStr">
        <is>
          <t>N/FRA. Nº 0048 DEMIUM STARTUPS SL</t>
        </is>
      </c>
      <c r="E114" s="13" t="n">
        <v>70500000000</v>
      </c>
      <c r="F114" s="14" t="n">
        <v>0</v>
      </c>
      <c r="G114" s="14" t="n">
        <v>228.983791704127</v>
      </c>
      <c r="H114" s="14" t="n">
        <v>0</v>
      </c>
      <c r="I114" s="14" t="inlineStr">
        <is>
          <t>PRESTACIONES DE SERVICIOS</t>
        </is>
      </c>
      <c r="J114" s="21">
        <f>G114-F114</f>
        <v/>
      </c>
      <c r="K114" s="22">
        <f>EOMONTH(B114,0)</f>
        <v/>
      </c>
      <c r="L114" s="22" t="inlineStr">
        <is>
          <t>Other</t>
        </is>
      </c>
      <c r="M114" s="21" t="n"/>
    </row>
    <row r="115">
      <c r="A115" s="10" t="n">
        <v>196</v>
      </c>
      <c r="B115" s="11" t="n">
        <v>45704</v>
      </c>
      <c r="C115" s="12" t="inlineStr"/>
      <c r="D115" s="10" t="inlineStr">
        <is>
          <t>DEV COMISIONES CAIXABANK 9463</t>
        </is>
      </c>
      <c r="E115" s="13" t="n">
        <v>626</v>
      </c>
      <c r="F115" s="14" t="n">
        <v>-4.977776345250058</v>
      </c>
      <c r="G115" s="14" t="n">
        <v>0</v>
      </c>
      <c r="H115" s="14" t="n">
        <v>0</v>
      </c>
      <c r="I115" s="14" t="inlineStr">
        <is>
          <t>SERVICIOS BANCARIOS Y SIMILARES</t>
        </is>
      </c>
      <c r="J115" s="21">
        <f>G115-F115</f>
        <v/>
      </c>
      <c r="K115" s="22">
        <f>EOMONTH(B115,0)</f>
        <v/>
      </c>
      <c r="L115" s="22" t="inlineStr">
        <is>
          <t>Admin</t>
        </is>
      </c>
      <c r="M115" s="21" t="n"/>
    </row>
    <row r="116">
      <c r="A116" s="10" t="n">
        <v>201</v>
      </c>
      <c r="B116" s="11" t="n">
        <v>45708</v>
      </c>
      <c r="C116" s="12" t="inlineStr"/>
      <c r="D116" s="10" t="inlineStr">
        <is>
          <t>COMISIONES CAIXABANK 9463</t>
        </is>
      </c>
      <c r="E116" s="13" t="n">
        <v>626</v>
      </c>
      <c r="F116" s="14" t="n">
        <v>5.45655583881551</v>
      </c>
      <c r="G116" s="14" t="n">
        <v>0</v>
      </c>
      <c r="H116" s="14" t="n">
        <v>0</v>
      </c>
      <c r="I116" s="14" t="inlineStr">
        <is>
          <t>SERVICIOS BANCARIOS Y SIMILARES</t>
        </is>
      </c>
      <c r="J116" s="21">
        <f>G116-F116</f>
        <v/>
      </c>
      <c r="K116" s="22">
        <f>EOMONTH(B116,0)</f>
        <v/>
      </c>
      <c r="L116" s="22" t="inlineStr">
        <is>
          <t>Admin</t>
        </is>
      </c>
      <c r="M116" s="21" t="n"/>
    </row>
    <row r="117">
      <c r="A117" s="10" t="n">
        <v>204</v>
      </c>
      <c r="B117" s="11" t="n">
        <v>45711</v>
      </c>
      <c r="C117" s="12" t="inlineStr"/>
      <c r="D117" s="10" t="inlineStr">
        <is>
          <t>COMISIONES CAIXABANK 9463</t>
        </is>
      </c>
      <c r="E117" s="13" t="n">
        <v>626</v>
      </c>
      <c r="F117" s="14" t="n">
        <v>6.010570499808392</v>
      </c>
      <c r="G117" s="14" t="n">
        <v>0</v>
      </c>
      <c r="H117" s="14" t="n">
        <v>0</v>
      </c>
      <c r="I117" s="14" t="inlineStr">
        <is>
          <t>SERVICIOS BANCARIOS Y SIMILARES</t>
        </is>
      </c>
      <c r="J117" s="21">
        <f>G117-F117</f>
        <v/>
      </c>
      <c r="K117" s="22">
        <f>EOMONTH(B117,0)</f>
        <v/>
      </c>
      <c r="L117" s="22" t="inlineStr">
        <is>
          <t>Admin</t>
        </is>
      </c>
      <c r="M117" s="21" t="n"/>
    </row>
    <row r="118">
      <c r="A118" s="10" t="n">
        <v>207</v>
      </c>
      <c r="B118" s="11" t="n">
        <v>45712</v>
      </c>
      <c r="C118" s="12" t="inlineStr"/>
      <c r="D118" s="10" t="inlineStr">
        <is>
          <t>SHIFT YEARLY PLAN SHIFT TECHNOLOGIES INC</t>
        </is>
      </c>
      <c r="E118" s="13" t="n">
        <v>668</v>
      </c>
      <c r="F118" s="14" t="n">
        <v>1.177638611606517</v>
      </c>
      <c r="G118" s="14" t="n">
        <v>0</v>
      </c>
      <c r="H118" s="14" t="n">
        <v>0</v>
      </c>
      <c r="I118" s="14" t="inlineStr">
        <is>
          <t>DIFERENCIAS NEGATIVAS DE CAMBIO</t>
        </is>
      </c>
      <c r="J118" s="21">
        <f>G118-F118</f>
        <v/>
      </c>
      <c r="K118" s="22">
        <f>EOMONTH(B118,0)</f>
        <v/>
      </c>
      <c r="L118" s="22" t="inlineStr">
        <is>
          <t>NA</t>
        </is>
      </c>
      <c r="M118" s="21" t="n"/>
    </row>
    <row r="119">
      <c r="A119" s="10" t="n">
        <v>212</v>
      </c>
      <c r="B119" s="11" t="n">
        <v>45714</v>
      </c>
      <c r="C119" s="12" t="inlineStr"/>
      <c r="D119" s="10" t="inlineStr">
        <is>
          <t>COMISIONES CAIXABANK 9463</t>
        </is>
      </c>
      <c r="E119" s="13" t="n">
        <v>626</v>
      </c>
      <c r="F119" s="14" t="n">
        <v>1.409621298649014</v>
      </c>
      <c r="G119" s="14" t="n">
        <v>0</v>
      </c>
      <c r="H119" s="14" t="n">
        <v>0</v>
      </c>
      <c r="I119" s="14" t="inlineStr">
        <is>
          <t>SERVICIOS BANCARIOS Y SIMILARES</t>
        </is>
      </c>
      <c r="J119" s="21">
        <f>G119-F119</f>
        <v/>
      </c>
      <c r="K119" s="22">
        <f>EOMONTH(B119,0)</f>
        <v/>
      </c>
      <c r="L119" s="22" t="inlineStr">
        <is>
          <t>Admin</t>
        </is>
      </c>
      <c r="M119" s="21" t="n"/>
    </row>
    <row r="120">
      <c r="A120" s="10" t="n">
        <v>215</v>
      </c>
      <c r="B120" s="11" t="n">
        <v>45714</v>
      </c>
      <c r="C120" s="12" t="inlineStr"/>
      <c r="D120" s="10" t="inlineStr">
        <is>
          <t>COMISIONES CAIXABANK 9463</t>
        </is>
      </c>
      <c r="E120" s="13" t="n">
        <v>626</v>
      </c>
      <c r="F120" s="14" t="n">
        <v>9.006262075237041</v>
      </c>
      <c r="G120" s="14" t="n">
        <v>0</v>
      </c>
      <c r="H120" s="14" t="n">
        <v>0</v>
      </c>
      <c r="I120" s="14" t="inlineStr">
        <is>
          <t>SERVICIOS BANCARIOS Y SIMILARES</t>
        </is>
      </c>
      <c r="J120" s="21">
        <f>G120-F120</f>
        <v/>
      </c>
      <c r="K120" s="22">
        <f>EOMONTH(B120,0)</f>
        <v/>
      </c>
      <c r="L120" s="22" t="inlineStr">
        <is>
          <t>Admin</t>
        </is>
      </c>
      <c r="M120" s="21" t="n"/>
    </row>
    <row r="121">
      <c r="A121" s="10" t="n">
        <v>217</v>
      </c>
      <c r="B121" s="11" t="n">
        <v>45716</v>
      </c>
      <c r="C121" s="12" t="inlineStr">
        <is>
          <t>NOMINA FEBRERO</t>
        </is>
      </c>
      <c r="D121" s="10" t="inlineStr">
        <is>
          <t>S/FRA. Nº NOMINA FEBRERO [PROVEEDOR]</t>
        </is>
      </c>
      <c r="E121" s="13" t="n">
        <v>640</v>
      </c>
      <c r="F121" s="14" t="n">
        <v>5100.193190729934</v>
      </c>
      <c r="G121" s="14" t="n">
        <v>0</v>
      </c>
      <c r="H121" s="14" t="n">
        <v>0</v>
      </c>
      <c r="I121" s="14" t="inlineStr">
        <is>
          <t>SUELDOS Y SALARIOS</t>
        </is>
      </c>
      <c r="J121" s="21">
        <f>G121-F121</f>
        <v/>
      </c>
      <c r="K121" s="22">
        <f>EOMONTH(B121,0)</f>
        <v/>
      </c>
      <c r="L121" s="22" t="inlineStr">
        <is>
          <t>NA</t>
        </is>
      </c>
      <c r="M121" s="21" t="n"/>
    </row>
    <row r="122">
      <c r="A122" s="10" t="n">
        <v>217</v>
      </c>
      <c r="B122" s="11" t="n">
        <v>45716</v>
      </c>
      <c r="C122" s="12" t="inlineStr">
        <is>
          <t>NOMINA FEBRERO</t>
        </is>
      </c>
      <c r="D122" s="10" t="inlineStr">
        <is>
          <t>S/FRA. Nº NOMINA FEBRERO [PROVEEDOR]</t>
        </is>
      </c>
      <c r="E122" s="13" t="n">
        <v>642</v>
      </c>
      <c r="F122" s="14" t="n">
        <v>4282.274684778162</v>
      </c>
      <c r="G122" s="14" t="n">
        <v>0</v>
      </c>
      <c r="H122" s="14" t="n">
        <v>0</v>
      </c>
      <c r="I122" s="14" t="inlineStr">
        <is>
          <t>SEGURIDAD SOCIAL A CARGO DE LA EMPRESA</t>
        </is>
      </c>
      <c r="J122" s="21">
        <f>G122-F122</f>
        <v/>
      </c>
      <c r="K122" s="22">
        <f>EOMONTH(B122,0)</f>
        <v/>
      </c>
      <c r="L122" s="22" t="inlineStr">
        <is>
          <t>NA</t>
        </is>
      </c>
      <c r="M122" s="21" t="n"/>
    </row>
    <row r="123">
      <c r="A123" s="10" t="n">
        <v>217</v>
      </c>
      <c r="B123" s="11" t="n">
        <v>45716</v>
      </c>
      <c r="C123" s="12" t="inlineStr">
        <is>
          <t>NOMINA FEBRERO</t>
        </is>
      </c>
      <c r="D123" s="10" t="inlineStr">
        <is>
          <t>S/FRA. Nº NOMINA FEBRERO [PROVEEDOR]</t>
        </is>
      </c>
      <c r="E123" s="13" t="n">
        <v>755</v>
      </c>
      <c r="F123" s="14" t="n">
        <v>0</v>
      </c>
      <c r="G123" s="14" t="n">
        <v>2246.147709879236</v>
      </c>
      <c r="H123" s="14" t="n">
        <v>0</v>
      </c>
      <c r="I123" s="14" t="inlineStr">
        <is>
          <t>INGRESOS POR SERVICIOS AL PERSONAL</t>
        </is>
      </c>
      <c r="J123" s="21">
        <f>G123-F123</f>
        <v/>
      </c>
      <c r="K123" s="22">
        <f>EOMONTH(B123,0)</f>
        <v/>
      </c>
      <c r="L123" s="22" t="inlineStr">
        <is>
          <t>Admin</t>
        </is>
      </c>
      <c r="M123" s="21" t="n"/>
    </row>
    <row r="124">
      <c r="A124" s="10" t="n">
        <v>218</v>
      </c>
      <c r="B124" s="11" t="n">
        <v>45715</v>
      </c>
      <c r="C124" s="12" t="inlineStr">
        <is>
          <t>4534</t>
        </is>
      </c>
      <c r="D124" s="10" t="inlineStr">
        <is>
          <t>S/FRA. Nº 4534 LINKEDIN IRELAND UNLIMETED</t>
        </is>
      </c>
      <c r="E124" s="13" t="n">
        <v>62900000000</v>
      </c>
      <c r="F124" s="14" t="n">
        <v>42.70708099742886</v>
      </c>
      <c r="G124" s="14" t="n">
        <v>0</v>
      </c>
      <c r="H124" s="14" t="n">
        <v>0</v>
      </c>
      <c r="I124" s="14" t="inlineStr">
        <is>
          <t>OTROS SERVICIOS</t>
        </is>
      </c>
      <c r="J124" s="21">
        <f>G124-F124</f>
        <v/>
      </c>
      <c r="K124" s="22">
        <f>EOMONTH(B124,0)</f>
        <v/>
      </c>
      <c r="L124" s="22" t="inlineStr">
        <is>
          <t>Sales</t>
        </is>
      </c>
      <c r="M124" s="21" t="n"/>
    </row>
    <row r="125">
      <c r="A125" s="10" t="n">
        <v>219</v>
      </c>
      <c r="B125" s="11" t="n">
        <v>45703</v>
      </c>
      <c r="C125" s="12" t="inlineStr">
        <is>
          <t>7925</t>
        </is>
      </c>
      <c r="D125" s="10" t="inlineStr">
        <is>
          <t>S/FRA. Nº 7925 AMAZON EU SARL SUCURSAL EN ESPAÑA</t>
        </is>
      </c>
      <c r="E125" s="13" t="n">
        <v>62900000001</v>
      </c>
      <c r="F125" s="14" t="n">
        <v>148.5754257776199</v>
      </c>
      <c r="G125" s="14" t="n">
        <v>0</v>
      </c>
      <c r="H125" s="14" t="n">
        <v>0</v>
      </c>
      <c r="I125" s="14" t="inlineStr">
        <is>
          <t>GASTOS MATERIAL OFICINA</t>
        </is>
      </c>
      <c r="J125" s="21">
        <f>G125-F125</f>
        <v/>
      </c>
      <c r="K125" s="22">
        <f>EOMONTH(B125,0)</f>
        <v/>
      </c>
      <c r="L125" s="22" t="inlineStr">
        <is>
          <t>IT</t>
        </is>
      </c>
      <c r="M125" s="21" t="n"/>
    </row>
    <row r="126">
      <c r="A126" s="10" t="n">
        <v>221</v>
      </c>
      <c r="B126" s="11" t="n">
        <v>45714</v>
      </c>
      <c r="C126" s="12" t="inlineStr">
        <is>
          <t>0003</t>
        </is>
      </c>
      <c r="D126" s="10" t="inlineStr">
        <is>
          <t>S/FRA. Nº 0003 GONZALO REY ABELAIRA</t>
        </is>
      </c>
      <c r="E126" s="13" t="n">
        <v>62900000000</v>
      </c>
      <c r="F126" s="14" t="n">
        <v>286.7780850114745</v>
      </c>
      <c r="G126" s="14" t="n">
        <v>0</v>
      </c>
      <c r="H126" s="14" t="n">
        <v>0</v>
      </c>
      <c r="I126" s="14" t="inlineStr">
        <is>
          <t>OTROS SERVICIOS</t>
        </is>
      </c>
      <c r="J126" s="21">
        <f>G126-F126</f>
        <v/>
      </c>
      <c r="K126" s="22">
        <f>EOMONTH(B126,0)</f>
        <v/>
      </c>
      <c r="L126" s="22" t="inlineStr">
        <is>
          <t>Sales</t>
        </is>
      </c>
      <c r="M126" s="21" t="n"/>
    </row>
    <row r="127">
      <c r="A127" s="10" t="n">
        <v>222</v>
      </c>
      <c r="B127" s="11" t="n">
        <v>45714</v>
      </c>
      <c r="C127" s="12" t="inlineStr">
        <is>
          <t>1079</t>
        </is>
      </c>
      <c r="D127" s="10" t="inlineStr">
        <is>
          <t>S/FRA. Nº 1079 ALCAMPO SA</t>
        </is>
      </c>
      <c r="E127" s="13" t="n">
        <v>62900000001</v>
      </c>
      <c r="F127" s="14" t="n">
        <v>3.347093039006396</v>
      </c>
      <c r="G127" s="14" t="n">
        <v>0</v>
      </c>
      <c r="H127" s="14" t="n">
        <v>0</v>
      </c>
      <c r="I127" s="14" t="inlineStr">
        <is>
          <t>GASTOS MATERIAL OFICINA</t>
        </is>
      </c>
      <c r="J127" s="21">
        <f>G127-F127</f>
        <v/>
      </c>
      <c r="K127" s="22">
        <f>EOMONTH(B127,0)</f>
        <v/>
      </c>
      <c r="L127" s="22" t="inlineStr">
        <is>
          <t>Admin</t>
        </is>
      </c>
      <c r="M127" s="21" t="n"/>
    </row>
    <row r="128">
      <c r="A128" s="10" t="n">
        <v>222</v>
      </c>
      <c r="B128" s="11" t="n">
        <v>45714</v>
      </c>
      <c r="C128" s="12" t="inlineStr">
        <is>
          <t>1079</t>
        </is>
      </c>
      <c r="D128" s="10" t="inlineStr">
        <is>
          <t>S/FRA. Nº 1079 ALCAMPO SA</t>
        </is>
      </c>
      <c r="E128" s="13" t="n">
        <v>62900000001</v>
      </c>
      <c r="F128" s="14" t="n">
        <v>57.1144733426271</v>
      </c>
      <c r="G128" s="14" t="n">
        <v>0</v>
      </c>
      <c r="H128" s="14" t="n">
        <v>0</v>
      </c>
      <c r="I128" s="14" t="inlineStr">
        <is>
          <t>GASTOS MATERIAL OFICINA</t>
        </is>
      </c>
      <c r="J128" s="21">
        <f>G128-F128</f>
        <v/>
      </c>
      <c r="K128" s="22">
        <f>EOMONTH(B128,0)</f>
        <v/>
      </c>
      <c r="L128" s="22" t="inlineStr">
        <is>
          <t>Admin</t>
        </is>
      </c>
      <c r="M128" s="21" t="n"/>
    </row>
    <row r="129">
      <c r="A129" s="10" t="n">
        <v>223</v>
      </c>
      <c r="B129" s="11" t="n">
        <v>45715</v>
      </c>
      <c r="C129" s="12" t="inlineStr">
        <is>
          <t>1874</t>
        </is>
      </c>
      <c r="D129" s="10" t="inlineStr">
        <is>
          <t>S/FRA. Nº 1874 LINKEDIN IRELAND UNLIMETED</t>
        </is>
      </c>
      <c r="E129" s="13" t="n">
        <v>62900000000</v>
      </c>
      <c r="F129" s="14" t="n">
        <v>3.041535819396535</v>
      </c>
      <c r="G129" s="14" t="n">
        <v>0</v>
      </c>
      <c r="H129" s="14" t="n">
        <v>0</v>
      </c>
      <c r="I129" s="14" t="inlineStr">
        <is>
          <t>OTROS SERVICIOS</t>
        </is>
      </c>
      <c r="J129" s="21">
        <f>G129-F129</f>
        <v/>
      </c>
      <c r="K129" s="22">
        <f>EOMONTH(B129,0)</f>
        <v/>
      </c>
      <c r="L129" s="22" t="inlineStr">
        <is>
          <t>Sales</t>
        </is>
      </c>
      <c r="M129" s="21" t="n"/>
    </row>
    <row r="130">
      <c r="A130" s="10" t="n">
        <v>224</v>
      </c>
      <c r="B130" s="11" t="n">
        <v>45716</v>
      </c>
      <c r="C130" s="12" t="inlineStr">
        <is>
          <t>9622</t>
        </is>
      </c>
      <c r="D130" s="10" t="inlineStr">
        <is>
          <t>S/FRA. Nº 9622 GOOGLE IRELAND LIMITED</t>
        </is>
      </c>
      <c r="E130" s="13" t="n">
        <v>62900000000</v>
      </c>
      <c r="F130" s="14" t="n">
        <v>162.0623039425091</v>
      </c>
      <c r="G130" s="14" t="n">
        <v>0</v>
      </c>
      <c r="H130" s="14" t="n">
        <v>0</v>
      </c>
      <c r="I130" s="14" t="inlineStr">
        <is>
          <t>OTROS SERVICIOS</t>
        </is>
      </c>
      <c r="J130" s="21">
        <f>G130-F130</f>
        <v/>
      </c>
      <c r="K130" s="22">
        <f>EOMONTH(B130,0)</f>
        <v/>
      </c>
      <c r="L130" s="22" t="inlineStr">
        <is>
          <t>IT</t>
        </is>
      </c>
      <c r="M130" s="21" t="n"/>
    </row>
    <row r="131">
      <c r="A131" s="10" t="n">
        <v>228</v>
      </c>
      <c r="B131" s="11" t="n">
        <v>45716</v>
      </c>
      <c r="C131" s="12" t="inlineStr">
        <is>
          <t>0407</t>
        </is>
      </c>
      <c r="D131" s="10" t="inlineStr">
        <is>
          <t>S/FRA. Nº  0407 PERK FINANCE, S.L.</t>
        </is>
      </c>
      <c r="E131" s="13" t="n">
        <v>62900000000</v>
      </c>
      <c r="F131" s="14" t="n">
        <v>1498.819144264248</v>
      </c>
      <c r="G131" s="14" t="n">
        <v>0</v>
      </c>
      <c r="H131" s="14" t="n">
        <v>0</v>
      </c>
      <c r="I131" s="14" t="inlineStr">
        <is>
          <t>OTROS SERVICIOS</t>
        </is>
      </c>
      <c r="J131" s="21">
        <f>G131-F131</f>
        <v/>
      </c>
      <c r="K131" s="22">
        <f>EOMONTH(B131,0)</f>
        <v/>
      </c>
      <c r="L131" s="22" t="inlineStr">
        <is>
          <t>Admin</t>
        </is>
      </c>
      <c r="M131" s="21" t="n"/>
    </row>
    <row r="132">
      <c r="A132" s="10" t="n">
        <v>228</v>
      </c>
      <c r="B132" s="11" t="n">
        <v>45716</v>
      </c>
      <c r="C132" s="12" t="inlineStr">
        <is>
          <t>0407</t>
        </is>
      </c>
      <c r="D132" s="10" t="inlineStr">
        <is>
          <t>S/FRA. Nº  0407 PERK FINANCE, S.L.</t>
        </is>
      </c>
      <c r="E132" s="13" t="n">
        <v>62900000000</v>
      </c>
      <c r="F132" s="14" t="n">
        <v>94.56087550754948</v>
      </c>
      <c r="G132" s="14" t="n">
        <v>0</v>
      </c>
      <c r="H132" s="14" t="n">
        <v>0</v>
      </c>
      <c r="I132" s="14" t="inlineStr">
        <is>
          <t>OTROS SERVICIOS</t>
        </is>
      </c>
      <c r="J132" s="21">
        <f>G132-F132</f>
        <v/>
      </c>
      <c r="K132" s="22">
        <f>EOMONTH(B132,0)</f>
        <v/>
      </c>
      <c r="L132" s="22" t="inlineStr">
        <is>
          <t>Admin</t>
        </is>
      </c>
      <c r="M132" s="21" t="n"/>
    </row>
    <row r="133">
      <c r="A133" s="10" t="n">
        <v>316</v>
      </c>
      <c r="B133" s="11" t="n">
        <v>45714</v>
      </c>
      <c r="C133" s="12" t="inlineStr">
        <is>
          <t>0131</t>
        </is>
      </c>
      <c r="D133" s="10" t="inlineStr">
        <is>
          <t>S/FRA. Nº 0131 NORBERTO GONZALEZ SOBRINO</t>
        </is>
      </c>
      <c r="E133" s="13" t="n">
        <v>62300</v>
      </c>
      <c r="F133" s="14" t="n">
        <v>402.873606188051</v>
      </c>
      <c r="G133" s="14" t="n">
        <v>0</v>
      </c>
      <c r="H133" s="14" t="n">
        <v>0</v>
      </c>
      <c r="I133" s="14" t="inlineStr">
        <is>
          <t>SERVICIOS DE PROFESIONALES INDEPENDIENTES</t>
        </is>
      </c>
      <c r="J133" s="21">
        <f>G133-F133</f>
        <v/>
      </c>
      <c r="K133" s="22">
        <f>EOMONTH(B133,0)</f>
        <v/>
      </c>
      <c r="L133" s="22" t="inlineStr">
        <is>
          <t>Admin</t>
        </is>
      </c>
      <c r="M133" s="21" t="n"/>
    </row>
    <row r="134">
      <c r="A134" s="10" t="n">
        <v>225</v>
      </c>
      <c r="B134" s="11" t="n">
        <v>45717</v>
      </c>
      <c r="C134" s="12" t="inlineStr">
        <is>
          <t>8369</t>
        </is>
      </c>
      <c r="D134" s="10" t="inlineStr">
        <is>
          <t>S/FRA. Nº 8369 MAXI MOBILITY SPAIN SL</t>
        </is>
      </c>
      <c r="E134" s="13" t="n">
        <v>62900000000</v>
      </c>
      <c r="F134" s="14" t="n">
        <v>29.85021808909901</v>
      </c>
      <c r="G134" s="14" t="n">
        <v>0</v>
      </c>
      <c r="H134" s="14" t="n">
        <v>0</v>
      </c>
      <c r="I134" s="14" t="inlineStr">
        <is>
          <t>OTROS SERVICIOS</t>
        </is>
      </c>
      <c r="J134" s="21">
        <f>G134-F134</f>
        <v/>
      </c>
      <c r="K134" s="22">
        <f>EOMONTH(B134,0)</f>
        <v/>
      </c>
      <c r="L134" s="22" t="inlineStr">
        <is>
          <t>Other</t>
        </is>
      </c>
      <c r="M134" s="21" t="n"/>
    </row>
    <row r="135">
      <c r="A135" s="10" t="n">
        <v>226</v>
      </c>
      <c r="B135" s="11" t="n">
        <v>45717</v>
      </c>
      <c r="C135" s="12" t="inlineStr">
        <is>
          <t>1493</t>
        </is>
      </c>
      <c r="D135" s="10" t="inlineStr">
        <is>
          <t>S/FRA. Nº 1493 LA FABRICA COWORKING SL</t>
        </is>
      </c>
      <c r="E135" s="13" t="n">
        <v>621</v>
      </c>
      <c r="F135" s="14" t="n">
        <v>1582.147735775756</v>
      </c>
      <c r="G135" s="14" t="n">
        <v>0</v>
      </c>
      <c r="H135" s="14" t="n">
        <v>0</v>
      </c>
      <c r="I135" s="14" t="inlineStr">
        <is>
          <t>ARRENDAMIENTOS Y CANONES</t>
        </is>
      </c>
      <c r="J135" s="21">
        <f>G135-F135</f>
        <v/>
      </c>
      <c r="K135" s="22">
        <f>EOMONTH(B135,0)</f>
        <v/>
      </c>
      <c r="L135" s="22" t="inlineStr">
        <is>
          <t>Admin</t>
        </is>
      </c>
      <c r="M135" s="21" t="n"/>
    </row>
    <row r="136">
      <c r="A136" s="10" t="n">
        <v>238</v>
      </c>
      <c r="B136" s="11" t="n">
        <v>45717</v>
      </c>
      <c r="C136" s="12" t="inlineStr"/>
      <c r="D136" s="10" t="inlineStr">
        <is>
          <t>COMISIONES CAIXABANK 9463</t>
        </is>
      </c>
      <c r="E136" s="13" t="n">
        <v>626</v>
      </c>
      <c r="F136" s="14" t="n">
        <v>0.9009454864676041</v>
      </c>
      <c r="G136" s="14" t="n">
        <v>0</v>
      </c>
      <c r="H136" s="14" t="n">
        <v>0</v>
      </c>
      <c r="I136" s="14" t="inlineStr">
        <is>
          <t>SERVICIOS BANCARIOS Y SIMILARES</t>
        </is>
      </c>
      <c r="J136" s="21">
        <f>G136-F136</f>
        <v/>
      </c>
      <c r="K136" s="22">
        <f>EOMONTH(B136,0)</f>
        <v/>
      </c>
      <c r="L136" s="22" t="inlineStr">
        <is>
          <t>Admin</t>
        </is>
      </c>
      <c r="M136" s="21" t="n"/>
    </row>
    <row r="137">
      <c r="A137" s="10" t="n">
        <v>239</v>
      </c>
      <c r="B137" s="11" t="n">
        <v>45717</v>
      </c>
      <c r="C137" s="12" t="inlineStr"/>
      <c r="D137" s="10" t="inlineStr">
        <is>
          <t>COMISIONES CAIXABANK 9463</t>
        </is>
      </c>
      <c r="E137" s="13" t="n">
        <v>626</v>
      </c>
      <c r="F137" s="14" t="n">
        <v>0.9349895564339388</v>
      </c>
      <c r="G137" s="14" t="n">
        <v>0</v>
      </c>
      <c r="H137" s="14" t="n">
        <v>0</v>
      </c>
      <c r="I137" s="14" t="inlineStr">
        <is>
          <t>SERVICIOS BANCARIOS Y SIMILARES</t>
        </is>
      </c>
      <c r="J137" s="21">
        <f>G137-F137</f>
        <v/>
      </c>
      <c r="K137" s="22">
        <f>EOMONTH(B137,0)</f>
        <v/>
      </c>
      <c r="L137" s="22" t="inlineStr">
        <is>
          <t>Admin</t>
        </is>
      </c>
      <c r="M137" s="21" t="n"/>
    </row>
    <row r="138">
      <c r="A138" s="10" t="n">
        <v>240</v>
      </c>
      <c r="B138" s="11" t="n">
        <v>45717</v>
      </c>
      <c r="C138" s="12" t="inlineStr"/>
      <c r="D138" s="10" t="inlineStr">
        <is>
          <t>INTERESES CAIXABANK 9463</t>
        </is>
      </c>
      <c r="E138" s="13" t="n">
        <v>66230</v>
      </c>
      <c r="F138" s="14" t="n">
        <v>143.9434916226038</v>
      </c>
      <c r="G138" s="14" t="n">
        <v>0</v>
      </c>
      <c r="H138" s="14" t="n">
        <v>0</v>
      </c>
      <c r="I138" s="14" t="inlineStr">
        <is>
          <t>INTERESES DE DEUDAS CON ENTIDADES DE CREDITO</t>
        </is>
      </c>
      <c r="J138" s="21">
        <f>G138-F138</f>
        <v/>
      </c>
      <c r="K138" s="22">
        <f>EOMONTH(B138,0)</f>
        <v/>
      </c>
      <c r="L138" s="22" t="inlineStr">
        <is>
          <t>NA</t>
        </is>
      </c>
      <c r="M138" s="21" t="n"/>
    </row>
    <row r="139">
      <c r="A139" s="10" t="n">
        <v>241</v>
      </c>
      <c r="B139" s="11" t="n">
        <v>45717</v>
      </c>
      <c r="C139" s="12" t="inlineStr"/>
      <c r="D139" s="10" t="inlineStr">
        <is>
          <t>COMISIONES CAIXABANK 9463</t>
        </is>
      </c>
      <c r="E139" s="13" t="n">
        <v>626</v>
      </c>
      <c r="F139" s="14" t="n">
        <v>0.8997483115117955</v>
      </c>
      <c r="G139" s="14" t="n">
        <v>0</v>
      </c>
      <c r="H139" s="14" t="n">
        <v>0</v>
      </c>
      <c r="I139" s="14" t="inlineStr">
        <is>
          <t>SERVICIOS BANCARIOS Y SIMILARES</t>
        </is>
      </c>
      <c r="J139" s="21">
        <f>G139-F139</f>
        <v/>
      </c>
      <c r="K139" s="22">
        <f>EOMONTH(B139,0)</f>
        <v/>
      </c>
      <c r="L139" s="22" t="inlineStr">
        <is>
          <t>Admin</t>
        </is>
      </c>
      <c r="M139" s="21" t="n"/>
    </row>
    <row r="140">
      <c r="A140" s="10" t="n">
        <v>242</v>
      </c>
      <c r="B140" s="11" t="n">
        <v>45717</v>
      </c>
      <c r="C140" s="12" t="inlineStr"/>
      <c r="D140" s="10" t="inlineStr">
        <is>
          <t>COMISIONES CAIXABANK 9463</t>
        </is>
      </c>
      <c r="E140" s="13" t="n">
        <v>626</v>
      </c>
      <c r="F140" s="14" t="n">
        <v>5.495028357560703</v>
      </c>
      <c r="G140" s="14" t="n">
        <v>0</v>
      </c>
      <c r="H140" s="14" t="n">
        <v>0</v>
      </c>
      <c r="I140" s="14" t="inlineStr">
        <is>
          <t>SERVICIOS BANCARIOS Y SIMILARES</t>
        </is>
      </c>
      <c r="J140" s="21">
        <f>G140-F140</f>
        <v/>
      </c>
      <c r="K140" s="22">
        <f>EOMONTH(B140,0)</f>
        <v/>
      </c>
      <c r="L140" s="22" t="inlineStr">
        <is>
          <t>Admin</t>
        </is>
      </c>
      <c r="M140" s="21" t="n"/>
    </row>
    <row r="141">
      <c r="A141" s="10" t="n">
        <v>243</v>
      </c>
      <c r="B141" s="11" t="n">
        <v>45717</v>
      </c>
      <c r="C141" s="12" t="inlineStr"/>
      <c r="D141" s="10" t="inlineStr">
        <is>
          <t>SEGUROS CAIXABANK 9463</t>
        </is>
      </c>
      <c r="E141" s="13" t="n">
        <v>625</v>
      </c>
      <c r="F141" s="14" t="n">
        <v>23.51437177985595</v>
      </c>
      <c r="G141" s="14" t="n">
        <v>0</v>
      </c>
      <c r="H141" s="14" t="n">
        <v>0</v>
      </c>
      <c r="I141" s="14" t="inlineStr">
        <is>
          <t>PRIMAS DE SEGUROS</t>
        </is>
      </c>
      <c r="J141" s="21">
        <f>G141-F141</f>
        <v/>
      </c>
      <c r="K141" s="22">
        <f>EOMONTH(B141,0)</f>
        <v/>
      </c>
      <c r="L141" s="22" t="inlineStr">
        <is>
          <t>Admin</t>
        </is>
      </c>
      <c r="M141" s="21" t="n"/>
    </row>
    <row r="142">
      <c r="A142" s="10" t="n">
        <v>255</v>
      </c>
      <c r="B142" s="11" t="n">
        <v>45717</v>
      </c>
      <c r="C142" s="12" t="inlineStr">
        <is>
          <t>0324</t>
        </is>
      </c>
      <c r="D142" s="10" t="inlineStr">
        <is>
          <t>S/FRA. Nº 0324 BERENGUELA &amp; TAXES, S.L.</t>
        </is>
      </c>
      <c r="E142" s="13" t="n">
        <v>62900000000</v>
      </c>
      <c r="F142" s="14" t="n">
        <v>35.13273461682353</v>
      </c>
      <c r="G142" s="14" t="n">
        <v>0</v>
      </c>
      <c r="H142" s="14" t="n">
        <v>0</v>
      </c>
      <c r="I142" s="14" t="inlineStr">
        <is>
          <t>OTROS SERVICIOS</t>
        </is>
      </c>
      <c r="J142" s="21">
        <f>G142-F142</f>
        <v/>
      </c>
      <c r="K142" s="22">
        <f>EOMONTH(B142,0)</f>
        <v/>
      </c>
      <c r="L142" s="22" t="inlineStr">
        <is>
          <t>Admin</t>
        </is>
      </c>
      <c r="M142" s="21" t="n"/>
    </row>
    <row r="143">
      <c r="A143" s="10" t="n">
        <v>256</v>
      </c>
      <c r="B143" s="11" t="n">
        <v>45717</v>
      </c>
      <c r="C143" s="12" t="inlineStr">
        <is>
          <t>0325</t>
        </is>
      </c>
      <c r="D143" s="10" t="inlineStr">
        <is>
          <t>S/FRA. Nº 0325 BERENGUELA &amp; TAXES, S.L.</t>
        </is>
      </c>
      <c r="E143" s="13" t="n">
        <v>62900000000</v>
      </c>
      <c r="F143" s="14" t="n">
        <v>286.8309971231842</v>
      </c>
      <c r="G143" s="14" t="n">
        <v>0</v>
      </c>
      <c r="H143" s="14" t="n">
        <v>0</v>
      </c>
      <c r="I143" s="14" t="inlineStr">
        <is>
          <t>OTROS SERVICIOS</t>
        </is>
      </c>
      <c r="J143" s="21">
        <f>G143-F143</f>
        <v/>
      </c>
      <c r="K143" s="22">
        <f>EOMONTH(B143,0)</f>
        <v/>
      </c>
      <c r="L143" s="22" t="inlineStr">
        <is>
          <t>Gestoría</t>
        </is>
      </c>
      <c r="M143" s="21" t="n"/>
    </row>
    <row r="144">
      <c r="A144" s="10" t="n">
        <v>257</v>
      </c>
      <c r="B144" s="11" t="n">
        <v>45719</v>
      </c>
      <c r="C144" s="12" t="inlineStr">
        <is>
          <t>TICKET</t>
        </is>
      </c>
      <c r="D144" s="10" t="inlineStr">
        <is>
          <t>S/FRA. Nº TICKET ACREEDORES POR PRESTACIÓN DE SERVICIOS</t>
        </is>
      </c>
      <c r="E144" s="13" t="n">
        <v>62900000000</v>
      </c>
      <c r="F144" s="14" t="n">
        <v>68.05848146434423</v>
      </c>
      <c r="G144" s="14" t="n">
        <v>0</v>
      </c>
      <c r="H144" s="14" t="n">
        <v>0</v>
      </c>
      <c r="I144" s="14" t="inlineStr">
        <is>
          <t>OTROS SERVICIOS</t>
        </is>
      </c>
      <c r="J144" s="21">
        <f>G144-F144</f>
        <v/>
      </c>
      <c r="K144" s="22">
        <f>EOMONTH(B144,0)</f>
        <v/>
      </c>
      <c r="L144" s="22" t="inlineStr">
        <is>
          <t>Admin</t>
        </is>
      </c>
      <c r="M144" s="21" t="n"/>
    </row>
    <row r="145">
      <c r="A145" s="10" t="n">
        <v>258</v>
      </c>
      <c r="B145" s="11" t="n">
        <v>45717</v>
      </c>
      <c r="C145" s="12" t="inlineStr">
        <is>
          <t>G0004</t>
        </is>
      </c>
      <c r="D145" s="10" t="inlineStr">
        <is>
          <t>N/FRA. Nº G0004 KAIKOO GAMING, S.L.</t>
        </is>
      </c>
      <c r="E145" s="13" t="n">
        <v>70500000002</v>
      </c>
      <c r="F145" s="14" t="n">
        <v>0</v>
      </c>
      <c r="G145" s="14" t="n">
        <v>34.66176625363754</v>
      </c>
      <c r="H145" s="14" t="n">
        <v>0</v>
      </c>
      <c r="I145" s="14" t="inlineStr">
        <is>
          <t>ASESORAMIENTO TRIBUTARIO</t>
        </is>
      </c>
      <c r="J145" s="21">
        <f>G145-F145</f>
        <v/>
      </c>
      <c r="K145" s="22">
        <f>EOMONTH(B145,0)</f>
        <v/>
      </c>
      <c r="L145" s="22" t="inlineStr">
        <is>
          <t>Gestoría</t>
        </is>
      </c>
      <c r="M145" s="21" t="n"/>
    </row>
    <row r="146">
      <c r="A146" s="10" t="n">
        <v>259</v>
      </c>
      <c r="B146" s="11" t="n">
        <v>45717</v>
      </c>
      <c r="C146" s="12" t="inlineStr">
        <is>
          <t>G0005</t>
        </is>
      </c>
      <c r="D146" s="10" t="inlineStr">
        <is>
          <t>N/FRA. Nº G0005 VIDOQUI REAL ESTATE, S.L.</t>
        </is>
      </c>
      <c r="E146" s="13" t="n">
        <v>70500000002</v>
      </c>
      <c r="F146" s="14" t="n">
        <v>0</v>
      </c>
      <c r="G146" s="14" t="n">
        <v>180.5911438974032</v>
      </c>
      <c r="H146" s="14" t="n">
        <v>0</v>
      </c>
      <c r="I146" s="14" t="inlineStr">
        <is>
          <t>ASESORAMIENTO TRIBUTARIO</t>
        </is>
      </c>
      <c r="J146" s="21">
        <f>G146-F146</f>
        <v/>
      </c>
      <c r="K146" s="22">
        <f>EOMONTH(B146,0)</f>
        <v/>
      </c>
      <c r="L146" s="22" t="inlineStr">
        <is>
          <t>Gestoría</t>
        </is>
      </c>
      <c r="M146" s="21" t="n"/>
    </row>
    <row r="147">
      <c r="A147" s="10" t="n">
        <v>260</v>
      </c>
      <c r="B147" s="11" t="n">
        <v>45717</v>
      </c>
      <c r="C147" s="12" t="inlineStr">
        <is>
          <t>G1006</t>
        </is>
      </c>
      <c r="D147" s="10" t="inlineStr">
        <is>
          <t>N/FRA. Nº G1006 FAFU REN</t>
        </is>
      </c>
      <c r="E147" s="13" t="n">
        <v>70500000002</v>
      </c>
      <c r="F147" s="14" t="n">
        <v>0</v>
      </c>
      <c r="G147" s="14" t="n">
        <v>106.0889255901876</v>
      </c>
      <c r="H147" s="14" t="n">
        <v>0</v>
      </c>
      <c r="I147" s="14" t="inlineStr">
        <is>
          <t>ASESORAMIENTO TRIBUTARIO</t>
        </is>
      </c>
      <c r="J147" s="21">
        <f>G147-F147</f>
        <v/>
      </c>
      <c r="K147" s="22">
        <f>EOMONTH(B147,0)</f>
        <v/>
      </c>
      <c r="L147" s="22" t="inlineStr">
        <is>
          <t>Gestoría</t>
        </is>
      </c>
      <c r="M147" s="21" t="n"/>
    </row>
    <row r="148">
      <c r="A148" s="10" t="n">
        <v>261</v>
      </c>
      <c r="B148" s="11" t="n">
        <v>45717</v>
      </c>
      <c r="C148" s="12" t="inlineStr">
        <is>
          <t>0050</t>
        </is>
      </c>
      <c r="D148" s="10" t="inlineStr">
        <is>
          <t>N/FRA. Nº 0050 INTELECTIUM FUNDING ACCELERATOR MADRID SL</t>
        </is>
      </c>
      <c r="E148" s="13" t="n">
        <v>70500000000</v>
      </c>
      <c r="F148" s="14" t="n">
        <v>0</v>
      </c>
      <c r="G148" s="14" t="n">
        <v>1096.771792065332</v>
      </c>
      <c r="H148" s="14" t="n">
        <v>0</v>
      </c>
      <c r="I148" s="14" t="inlineStr">
        <is>
          <t>PRESTACIONES DE SERVICIOS</t>
        </is>
      </c>
      <c r="J148" s="21">
        <f>G148-F148</f>
        <v/>
      </c>
      <c r="K148" s="22">
        <f>EOMONTH(B148,0)</f>
        <v/>
      </c>
      <c r="L148" s="22" t="inlineStr">
        <is>
          <t>Intelectium</t>
        </is>
      </c>
      <c r="M148" s="21" t="n"/>
    </row>
    <row r="149">
      <c r="A149" s="10" t="n">
        <v>273</v>
      </c>
      <c r="B149" s="11" t="n">
        <v>45724</v>
      </c>
      <c r="C149" s="12" t="inlineStr"/>
      <c r="D149" s="10" t="inlineStr">
        <is>
          <t>COMISIO CAIXABANK 9463</t>
        </is>
      </c>
      <c r="E149" s="13" t="n">
        <v>626</v>
      </c>
      <c r="F149" s="14" t="n">
        <v>1.780886830789924</v>
      </c>
      <c r="G149" s="14" t="n">
        <v>0</v>
      </c>
      <c r="H149" s="14" t="n">
        <v>0</v>
      </c>
      <c r="I149" s="14" t="inlineStr">
        <is>
          <t>SERVICIOS BANCARIOS Y SIMILARES</t>
        </is>
      </c>
      <c r="J149" s="21">
        <f>G149-F149</f>
        <v/>
      </c>
      <c r="K149" s="22">
        <f>EOMONTH(B149,0)</f>
        <v/>
      </c>
      <c r="L149" s="22" t="inlineStr">
        <is>
          <t>Admin</t>
        </is>
      </c>
      <c r="M149" s="21" t="n"/>
    </row>
    <row r="150">
      <c r="A150" s="10" t="n">
        <v>279</v>
      </c>
      <c r="B150" s="11" t="n">
        <v>45725</v>
      </c>
      <c r="C150" s="12" t="inlineStr">
        <is>
          <t>1977</t>
        </is>
      </c>
      <c r="D150" s="10" t="inlineStr">
        <is>
          <t>N/FRA. Nº 1977 EBURY PARTNERS UK LTD</t>
        </is>
      </c>
      <c r="E150" s="13" t="n">
        <v>70500000001</v>
      </c>
      <c r="F150" s="14" t="n">
        <v>0</v>
      </c>
      <c r="G150" s="14" t="n">
        <v>17.56980442211256</v>
      </c>
      <c r="H150" s="14" t="n">
        <v>0</v>
      </c>
      <c r="I150" s="14" t="inlineStr">
        <is>
          <t>INGRESOS SIN IVA - REFERIDOS</t>
        </is>
      </c>
      <c r="J150" s="21">
        <f>G150-F150</f>
        <v/>
      </c>
      <c r="K150" s="22">
        <f>EOMONTH(B150,0)</f>
        <v/>
      </c>
      <c r="L150" s="22" t="inlineStr">
        <is>
          <t>Other</t>
        </is>
      </c>
      <c r="M150" s="21" t="n"/>
    </row>
    <row r="151">
      <c r="A151" s="10" t="n">
        <v>294</v>
      </c>
      <c r="B151" s="11" t="n">
        <v>45741</v>
      </c>
      <c r="C151" s="12" t="inlineStr">
        <is>
          <t>0051</t>
        </is>
      </c>
      <c r="D151" s="10" t="inlineStr">
        <is>
          <t>N/FRA. Nº 0051 PERK FINANCE SL</t>
        </is>
      </c>
      <c r="E151" s="13" t="n">
        <v>70500000000</v>
      </c>
      <c r="F151" s="14" t="n">
        <v>0</v>
      </c>
      <c r="G151" s="14" t="n">
        <v>3136.142130478006</v>
      </c>
      <c r="H151" s="14" t="n">
        <v>0</v>
      </c>
      <c r="I151" s="14" t="inlineStr">
        <is>
          <t>PRESTACIONES DE SERVICIOS</t>
        </is>
      </c>
      <c r="J151" s="21">
        <f>G151-F151</f>
        <v/>
      </c>
      <c r="K151" s="22">
        <f>EOMONTH(B151,0)</f>
        <v/>
      </c>
      <c r="L151" s="22" t="inlineStr">
        <is>
          <t>CFO</t>
        </is>
      </c>
      <c r="M151" s="21" t="n"/>
    </row>
    <row r="152">
      <c r="A152" s="10" t="n">
        <v>295</v>
      </c>
      <c r="B152" s="11" t="n">
        <v>45741</v>
      </c>
      <c r="C152" s="12" t="inlineStr">
        <is>
          <t>0052</t>
        </is>
      </c>
      <c r="D152" s="10" t="inlineStr">
        <is>
          <t>N/FRA. Nº 0052 GEOBLINK SL</t>
        </is>
      </c>
      <c r="E152" s="13" t="n">
        <v>70500000000</v>
      </c>
      <c r="F152" s="14" t="n">
        <v>0</v>
      </c>
      <c r="G152" s="14" t="n">
        <v>1882.113955439214</v>
      </c>
      <c r="H152" s="14" t="n">
        <v>0</v>
      </c>
      <c r="I152" s="14" t="inlineStr">
        <is>
          <t>PRESTACIONES DE SERVICIOS</t>
        </is>
      </c>
      <c r="J152" s="21">
        <f>G152-F152</f>
        <v/>
      </c>
      <c r="K152" s="22">
        <f>EOMONTH(B152,0)</f>
        <v/>
      </c>
      <c r="L152" s="22" t="inlineStr">
        <is>
          <t>CFO</t>
        </is>
      </c>
      <c r="M152" s="21" t="n"/>
    </row>
    <row r="153">
      <c r="A153" s="10" t="n">
        <v>296</v>
      </c>
      <c r="B153" s="11" t="n">
        <v>45741</v>
      </c>
      <c r="C153" s="12" t="inlineStr">
        <is>
          <t>0053</t>
        </is>
      </c>
      <c r="D153" s="10" t="inlineStr">
        <is>
          <t>N/FRA. Nº 0053 DINERO GELT</t>
        </is>
      </c>
      <c r="E153" s="13" t="n">
        <v>70500000000</v>
      </c>
      <c r="F153" s="14" t="n">
        <v>0</v>
      </c>
      <c r="G153" s="14" t="n">
        <v>2066.088227967214</v>
      </c>
      <c r="H153" s="14" t="n">
        <v>0</v>
      </c>
      <c r="I153" s="14" t="inlineStr">
        <is>
          <t>PRESTACIONES DE SERVICIOS</t>
        </is>
      </c>
      <c r="J153" s="21">
        <f>G153-F153</f>
        <v/>
      </c>
      <c r="K153" s="22">
        <f>EOMONTH(B153,0)</f>
        <v/>
      </c>
      <c r="L153" s="22" t="inlineStr">
        <is>
          <t>CFO</t>
        </is>
      </c>
      <c r="M153" s="21" t="n"/>
    </row>
    <row r="154">
      <c r="A154" s="10" t="n">
        <v>297</v>
      </c>
      <c r="B154" s="11" t="n">
        <v>45741</v>
      </c>
      <c r="C154" s="12" t="inlineStr">
        <is>
          <t>0054</t>
        </is>
      </c>
      <c r="D154" s="10" t="inlineStr">
        <is>
          <t>N/FRA. Nº 0054 GELT CASH TRANSFER S.L.U.</t>
        </is>
      </c>
      <c r="E154" s="13" t="n">
        <v>70500000000</v>
      </c>
      <c r="F154" s="14" t="n">
        <v>0</v>
      </c>
      <c r="G154" s="14" t="n">
        <v>1717.773049170637</v>
      </c>
      <c r="H154" s="14" t="n">
        <v>0</v>
      </c>
      <c r="I154" s="14" t="inlineStr">
        <is>
          <t>PRESTACIONES DE SERVICIOS</t>
        </is>
      </c>
      <c r="J154" s="21">
        <f>G154-F154</f>
        <v/>
      </c>
      <c r="K154" s="22">
        <f>EOMONTH(B154,0)</f>
        <v/>
      </c>
      <c r="L154" s="22" t="inlineStr">
        <is>
          <t>CFO</t>
        </is>
      </c>
      <c r="M154" s="21" t="n"/>
    </row>
    <row r="155">
      <c r="A155" s="10" t="n">
        <v>298</v>
      </c>
      <c r="B155" s="11" t="n">
        <v>45741</v>
      </c>
      <c r="C155" s="12" t="inlineStr">
        <is>
          <t>0055</t>
        </is>
      </c>
      <c r="D155" s="10" t="inlineStr">
        <is>
          <t>N/FRA. Nº 0055 PROSEGUR CUSTODIA DE ACTIVOS DIGITALES S.L.</t>
        </is>
      </c>
      <c r="E155" s="13" t="n">
        <v>70500000000</v>
      </c>
      <c r="F155" s="14" t="n">
        <v>0</v>
      </c>
      <c r="G155" s="14" t="n">
        <v>495.6378409327518</v>
      </c>
      <c r="H155" s="14" t="n">
        <v>0</v>
      </c>
      <c r="I155" s="14" t="inlineStr">
        <is>
          <t>PRESTACIONES DE SERVICIOS</t>
        </is>
      </c>
      <c r="J155" s="21">
        <f>G155-F155</f>
        <v/>
      </c>
      <c r="K155" s="22">
        <f>EOMONTH(B155,0)</f>
        <v/>
      </c>
      <c r="L155" s="22" t="inlineStr">
        <is>
          <t>CFO</t>
        </is>
      </c>
      <c r="M155" s="21" t="n"/>
    </row>
    <row r="156">
      <c r="A156" s="10" t="n">
        <v>299</v>
      </c>
      <c r="B156" s="11" t="n">
        <v>45741</v>
      </c>
      <c r="C156" s="12" t="inlineStr">
        <is>
          <t>0056</t>
        </is>
      </c>
      <c r="D156" s="10" t="inlineStr">
        <is>
          <t>N/FRA. Nº 0056 ALPHA3 CASHLABS SL.</t>
        </is>
      </c>
      <c r="E156" s="13" t="n">
        <v>70500000000</v>
      </c>
      <c r="F156" s="14" t="n">
        <v>0</v>
      </c>
      <c r="G156" s="14" t="n">
        <v>1993.671620397992</v>
      </c>
      <c r="H156" s="14" t="n">
        <v>0</v>
      </c>
      <c r="I156" s="14" t="inlineStr">
        <is>
          <t>PRESTACIONES DE SERVICIOS</t>
        </is>
      </c>
      <c r="J156" s="21">
        <f>G156-F156</f>
        <v/>
      </c>
      <c r="K156" s="22">
        <f>EOMONTH(B156,0)</f>
        <v/>
      </c>
      <c r="L156" s="22" t="inlineStr">
        <is>
          <t>CFO</t>
        </is>
      </c>
      <c r="M156" s="21" t="n"/>
    </row>
    <row r="157">
      <c r="A157" s="10" t="n">
        <v>300</v>
      </c>
      <c r="B157" s="11" t="n">
        <v>45741</v>
      </c>
      <c r="C157" s="12" t="inlineStr">
        <is>
          <t>0057</t>
        </is>
      </c>
      <c r="D157" s="10" t="inlineStr">
        <is>
          <t>N/FRA. Nº 0057 GELT BRASIL CONSLTORIA EM TECNOLOGIA DA INFORMAÇAO</t>
        </is>
      </c>
      <c r="E157" s="13" t="n">
        <v>70500000000</v>
      </c>
      <c r="F157" s="14" t="n">
        <v>0</v>
      </c>
      <c r="G157" s="14" t="n">
        <v>1866.21671657252</v>
      </c>
      <c r="H157" s="14" t="n">
        <v>0</v>
      </c>
      <c r="I157" s="14" t="inlineStr">
        <is>
          <t>PRESTACIONES DE SERVICIOS</t>
        </is>
      </c>
      <c r="J157" s="21">
        <f>G157-F157</f>
        <v/>
      </c>
      <c r="K157" s="22">
        <f>EOMONTH(B157,0)</f>
        <v/>
      </c>
      <c r="L157" s="22" t="inlineStr">
        <is>
          <t>CFO</t>
        </is>
      </c>
      <c r="M157" s="21" t="n"/>
    </row>
    <row r="158">
      <c r="A158" s="10" t="n">
        <v>301</v>
      </c>
      <c r="B158" s="11" t="n">
        <v>45741</v>
      </c>
      <c r="C158" s="12" t="inlineStr">
        <is>
          <t>0058</t>
        </is>
      </c>
      <c r="D158" s="10" t="inlineStr">
        <is>
          <t>N/FRA. Nº 0058 USIZY SL</t>
        </is>
      </c>
      <c r="E158" s="13" t="n">
        <v>70500000000</v>
      </c>
      <c r="F158" s="14" t="n">
        <v>0</v>
      </c>
      <c r="G158" s="14" t="n">
        <v>3106.396720164267</v>
      </c>
      <c r="H158" s="14" t="n">
        <v>0</v>
      </c>
      <c r="I158" s="14" t="inlineStr">
        <is>
          <t>PRESTACIONES DE SERVICIOS</t>
        </is>
      </c>
      <c r="J158" s="21">
        <f>G158-F158</f>
        <v/>
      </c>
      <c r="K158" s="22">
        <f>EOMONTH(B158,0)</f>
        <v/>
      </c>
      <c r="L158" s="22" t="inlineStr">
        <is>
          <t>CFO</t>
        </is>
      </c>
      <c r="M158" s="21" t="n"/>
    </row>
    <row r="159">
      <c r="A159" s="10" t="n">
        <v>302</v>
      </c>
      <c r="B159" s="11" t="n">
        <v>45741</v>
      </c>
      <c r="C159" s="12" t="inlineStr">
        <is>
          <t>0059</t>
        </is>
      </c>
      <c r="D159" s="10" t="inlineStr">
        <is>
          <t>N/FRA. Nº 0059 NORAREALFOOD SL</t>
        </is>
      </c>
      <c r="E159" s="13" t="n">
        <v>70500000000</v>
      </c>
      <c r="F159" s="14" t="n">
        <v>0</v>
      </c>
      <c r="G159" s="14" t="n">
        <v>2370.829844912941</v>
      </c>
      <c r="H159" s="14" t="n">
        <v>0</v>
      </c>
      <c r="I159" s="14" t="inlineStr">
        <is>
          <t>PRESTACIONES DE SERVICIOS</t>
        </is>
      </c>
      <c r="J159" s="21">
        <f>G159-F159</f>
        <v/>
      </c>
      <c r="K159" s="22">
        <f>EOMONTH(B159,0)</f>
        <v/>
      </c>
      <c r="L159" s="22" t="inlineStr">
        <is>
          <t>CFO</t>
        </is>
      </c>
      <c r="M159" s="21" t="n"/>
    </row>
    <row r="160">
      <c r="A160" s="10" t="n">
        <v>303</v>
      </c>
      <c r="B160" s="11" t="n">
        <v>45741</v>
      </c>
      <c r="C160" s="12" t="inlineStr">
        <is>
          <t>0060</t>
        </is>
      </c>
      <c r="D160" s="10" t="inlineStr">
        <is>
          <t>N/FRA. Nº 0060 IDOVEN 1903, S.L.</t>
        </is>
      </c>
      <c r="E160" s="13" t="n">
        <v>70500000000</v>
      </c>
      <c r="F160" s="14" t="n">
        <v>0</v>
      </c>
      <c r="G160" s="14" t="n">
        <v>2958.732214711801</v>
      </c>
      <c r="H160" s="14" t="n">
        <v>0</v>
      </c>
      <c r="I160" s="14" t="inlineStr">
        <is>
          <t>PRESTACIONES DE SERVICIOS</t>
        </is>
      </c>
      <c r="J160" s="21">
        <f>G160-F160</f>
        <v/>
      </c>
      <c r="K160" s="22">
        <f>EOMONTH(B160,0)</f>
        <v/>
      </c>
      <c r="L160" s="22" t="inlineStr">
        <is>
          <t>CFO</t>
        </is>
      </c>
      <c r="M160" s="21" t="n"/>
    </row>
    <row r="161">
      <c r="A161" s="10" t="n">
        <v>304</v>
      </c>
      <c r="B161" s="11" t="n">
        <v>45741</v>
      </c>
      <c r="C161" s="12" t="inlineStr">
        <is>
          <t>0061</t>
        </is>
      </c>
      <c r="D161" s="10" t="inlineStr">
        <is>
          <t>N/FRA. Nº 0061 WHEELS LABS INC</t>
        </is>
      </c>
      <c r="E161" s="13" t="n">
        <v>70500000000</v>
      </c>
      <c r="F161" s="14" t="n">
        <v>0</v>
      </c>
      <c r="G161" s="14" t="n">
        <v>570.9563853404211</v>
      </c>
      <c r="H161" s="14" t="n">
        <v>0</v>
      </c>
      <c r="I161" s="14" t="inlineStr">
        <is>
          <t>PRESTACIONES DE SERVICIOS</t>
        </is>
      </c>
      <c r="J161" s="21">
        <f>G161-F161</f>
        <v/>
      </c>
      <c r="K161" s="22">
        <f>EOMONTH(B161,0)</f>
        <v/>
      </c>
      <c r="L161" s="22" t="inlineStr">
        <is>
          <t>CFO</t>
        </is>
      </c>
      <c r="M161" s="21" t="n"/>
    </row>
    <row r="162">
      <c r="A162" s="10" t="n">
        <v>305</v>
      </c>
      <c r="B162" s="11" t="n">
        <v>45741</v>
      </c>
      <c r="C162" s="12" t="inlineStr">
        <is>
          <t>0062</t>
        </is>
      </c>
      <c r="D162" s="10" t="inlineStr">
        <is>
          <t>N/FRA. Nº 0062 ROI PERFORMANCE MEDIA S.L</t>
        </is>
      </c>
      <c r="E162" s="13" t="n">
        <v>70500000000</v>
      </c>
      <c r="F162" s="14" t="n">
        <v>0</v>
      </c>
      <c r="G162" s="14" t="n">
        <v>1460.682486229163</v>
      </c>
      <c r="H162" s="14" t="n">
        <v>0</v>
      </c>
      <c r="I162" s="14" t="inlineStr">
        <is>
          <t>PRESTACIONES DE SERVICIOS</t>
        </is>
      </c>
      <c r="J162" s="21">
        <f>G162-F162</f>
        <v/>
      </c>
      <c r="K162" s="22">
        <f>EOMONTH(B162,0)</f>
        <v/>
      </c>
      <c r="L162" s="22" t="inlineStr">
        <is>
          <t>CFO</t>
        </is>
      </c>
      <c r="M162" s="21" t="n"/>
    </row>
    <row r="163">
      <c r="A163" s="10" t="n">
        <v>306</v>
      </c>
      <c r="B163" s="11" t="n">
        <v>45741</v>
      </c>
      <c r="C163" s="12" t="inlineStr">
        <is>
          <t>0063</t>
        </is>
      </c>
      <c r="D163" s="10" t="inlineStr">
        <is>
          <t>N/FRA. Nº 0063 VALIDATED ID SL</t>
        </is>
      </c>
      <c r="E163" s="13" t="n">
        <v>70500000000</v>
      </c>
      <c r="F163" s="14" t="n">
        <v>0</v>
      </c>
      <c r="G163" s="14" t="n">
        <v>1806.170665249029</v>
      </c>
      <c r="H163" s="14" t="n">
        <v>0</v>
      </c>
      <c r="I163" s="14" t="inlineStr">
        <is>
          <t>PRESTACIONES DE SERVICIOS</t>
        </is>
      </c>
      <c r="J163" s="21">
        <f>G163-F163</f>
        <v/>
      </c>
      <c r="K163" s="22">
        <f>EOMONTH(B163,0)</f>
        <v/>
      </c>
      <c r="L163" s="22" t="inlineStr">
        <is>
          <t>CFO</t>
        </is>
      </c>
      <c r="M163" s="21" t="n"/>
    </row>
    <row r="164">
      <c r="A164" s="10" t="n">
        <v>307</v>
      </c>
      <c r="B164" s="11" t="n">
        <v>45741</v>
      </c>
      <c r="C164" s="12" t="inlineStr">
        <is>
          <t>0064</t>
        </is>
      </c>
      <c r="D164" s="10" t="inlineStr">
        <is>
          <t>N/FRA. Nº 0064 GRAPHEXT LABS, S.L.</t>
        </is>
      </c>
      <c r="E164" s="13" t="n">
        <v>70500000000</v>
      </c>
      <c r="F164" s="14" t="n">
        <v>0</v>
      </c>
      <c r="G164" s="14" t="n">
        <v>155.0812317480554</v>
      </c>
      <c r="H164" s="14" t="n">
        <v>0</v>
      </c>
      <c r="I164" s="14" t="inlineStr">
        <is>
          <t>PRESTACIONES DE SERVICIOS</t>
        </is>
      </c>
      <c r="J164" s="21">
        <f>G164-F164</f>
        <v/>
      </c>
      <c r="K164" s="22">
        <f>EOMONTH(B164,0)</f>
        <v/>
      </c>
      <c r="L164" s="22" t="inlineStr">
        <is>
          <t>CFO</t>
        </is>
      </c>
      <c r="M164" s="21" t="n"/>
    </row>
    <row r="165">
      <c r="A165" s="10" t="n">
        <v>309</v>
      </c>
      <c r="B165" s="11" t="n">
        <v>45741</v>
      </c>
      <c r="C165" s="12" t="inlineStr">
        <is>
          <t>0066</t>
        </is>
      </c>
      <c r="D165" s="10" t="inlineStr">
        <is>
          <t>N/FRA. Nº 0066 MEDICINAL GARDENS SL</t>
        </is>
      </c>
      <c r="E165" s="13" t="n">
        <v>70500000000</v>
      </c>
      <c r="F165" s="14" t="n">
        <v>0</v>
      </c>
      <c r="G165" s="14" t="n">
        <v>2109.618712363144</v>
      </c>
      <c r="H165" s="14" t="n">
        <v>0</v>
      </c>
      <c r="I165" s="14" t="inlineStr">
        <is>
          <t>PRESTACIONES DE SERVICIOS</t>
        </is>
      </c>
      <c r="J165" s="21">
        <f>G165-F165</f>
        <v/>
      </c>
      <c r="K165" s="22">
        <f>EOMONTH(B165,0)</f>
        <v/>
      </c>
      <c r="L165" s="22" t="inlineStr">
        <is>
          <t>CFO</t>
        </is>
      </c>
      <c r="M165" s="21" t="n"/>
    </row>
    <row r="166">
      <c r="A166" s="10" t="n">
        <v>310</v>
      </c>
      <c r="B166" s="11" t="n">
        <v>45741</v>
      </c>
      <c r="C166" s="12" t="inlineStr">
        <is>
          <t>0067</t>
        </is>
      </c>
      <c r="D166" s="10" t="inlineStr">
        <is>
          <t>N/FRA. Nº 0067 CLARITY AI EUROPE S.L.U.</t>
        </is>
      </c>
      <c r="E166" s="13" t="n">
        <v>70500000000</v>
      </c>
      <c r="F166" s="14" t="n">
        <v>0</v>
      </c>
      <c r="G166" s="14" t="n">
        <v>2334.254199862326</v>
      </c>
      <c r="H166" s="14" t="n">
        <v>0</v>
      </c>
      <c r="I166" s="14" t="inlineStr">
        <is>
          <t>PRESTACIONES DE SERVICIOS</t>
        </is>
      </c>
      <c r="J166" s="21">
        <f>G166-F166</f>
        <v/>
      </c>
      <c r="K166" s="22">
        <f>EOMONTH(B166,0)</f>
        <v/>
      </c>
      <c r="L166" s="22" t="inlineStr">
        <is>
          <t>CFO</t>
        </is>
      </c>
      <c r="M166" s="21" t="n"/>
    </row>
    <row r="167">
      <c r="A167" s="10" t="n">
        <v>311</v>
      </c>
      <c r="B167" s="11" t="n">
        <v>45741</v>
      </c>
      <c r="C167" s="12" t="inlineStr">
        <is>
          <t>0068</t>
        </is>
      </c>
      <c r="D167" s="10" t="inlineStr">
        <is>
          <t>N/FRA. Nº 0068 AGROSINGULARITY SL</t>
        </is>
      </c>
      <c r="E167" s="13" t="n">
        <v>70500000000</v>
      </c>
      <c r="F167" s="14" t="n">
        <v>0</v>
      </c>
      <c r="G167" s="14" t="n">
        <v>4459.670801625082</v>
      </c>
      <c r="H167" s="14" t="n">
        <v>0</v>
      </c>
      <c r="I167" s="14" t="inlineStr">
        <is>
          <t>PRESTACIONES DE SERVICIOS</t>
        </is>
      </c>
      <c r="J167" s="21">
        <f>G167-F167</f>
        <v/>
      </c>
      <c r="K167" s="22">
        <f>EOMONTH(B167,0)</f>
        <v/>
      </c>
      <c r="L167" s="22" t="inlineStr">
        <is>
          <t>CFO</t>
        </is>
      </c>
      <c r="M167" s="21" t="n"/>
    </row>
    <row r="168">
      <c r="A168" s="10" t="n">
        <v>312</v>
      </c>
      <c r="B168" s="11" t="n">
        <v>45741</v>
      </c>
      <c r="C168" s="12" t="inlineStr">
        <is>
          <t>0069</t>
        </is>
      </c>
      <c r="D168" s="10" t="inlineStr">
        <is>
          <t>N/FRA. Nº 0069 NGLOBAL HOLDING AB</t>
        </is>
      </c>
      <c r="E168" s="13" t="n">
        <v>70500000000</v>
      </c>
      <c r="F168" s="14" t="n">
        <v>0</v>
      </c>
      <c r="G168" s="14" t="n">
        <v>3234.485773839611</v>
      </c>
      <c r="H168" s="14" t="n">
        <v>0</v>
      </c>
      <c r="I168" s="14" t="inlineStr">
        <is>
          <t>PRESTACIONES DE SERVICIOS</t>
        </is>
      </c>
      <c r="J168" s="21">
        <f>G168-F168</f>
        <v/>
      </c>
      <c r="K168" s="22">
        <f>EOMONTH(B168,0)</f>
        <v/>
      </c>
      <c r="L168" s="22" t="inlineStr">
        <is>
          <t>CFO</t>
        </is>
      </c>
      <c r="M168" s="21" t="n"/>
    </row>
    <row r="169">
      <c r="A169" s="10" t="n">
        <v>313</v>
      </c>
      <c r="B169" s="11" t="n">
        <v>45741</v>
      </c>
      <c r="C169" s="12" t="inlineStr">
        <is>
          <t>0070</t>
        </is>
      </c>
      <c r="D169" s="10" t="inlineStr">
        <is>
          <t>N/FRA. Nº 0070 NUBENTOS THE API MARKETPLACE FOR HEALTH, SL</t>
        </is>
      </c>
      <c r="E169" s="13" t="n">
        <v>70500000000</v>
      </c>
      <c r="F169" s="14" t="n">
        <v>0</v>
      </c>
      <c r="G169" s="14" t="n">
        <v>1052.461363705859</v>
      </c>
      <c r="H169" s="14" t="n">
        <v>0</v>
      </c>
      <c r="I169" s="14" t="inlineStr">
        <is>
          <t>PRESTACIONES DE SERVICIOS</t>
        </is>
      </c>
      <c r="J169" s="21">
        <f>G169-F169</f>
        <v/>
      </c>
      <c r="K169" s="22">
        <f>EOMONTH(B169,0)</f>
        <v/>
      </c>
      <c r="L169" s="22" t="inlineStr">
        <is>
          <t>CFO</t>
        </is>
      </c>
      <c r="M169" s="21" t="n"/>
    </row>
    <row r="170">
      <c r="A170" s="10" t="n">
        <v>314</v>
      </c>
      <c r="B170" s="11" t="n">
        <v>45741</v>
      </c>
      <c r="C170" s="12" t="inlineStr">
        <is>
          <t>0071</t>
        </is>
      </c>
      <c r="D170" s="10" t="inlineStr">
        <is>
          <t>N/FRA. Nº 0071 BUILD38 GMBH</t>
        </is>
      </c>
      <c r="E170" s="13" t="n">
        <v>70500000000</v>
      </c>
      <c r="F170" s="14" t="n">
        <v>0</v>
      </c>
      <c r="G170" s="14" t="n">
        <v>1133.693085485264</v>
      </c>
      <c r="H170" s="14" t="n">
        <v>0</v>
      </c>
      <c r="I170" s="14" t="inlineStr">
        <is>
          <t>PRESTACIONES DE SERVICIOS</t>
        </is>
      </c>
      <c r="J170" s="21">
        <f>G170-F170</f>
        <v/>
      </c>
      <c r="K170" s="22">
        <f>EOMONTH(B170,0)</f>
        <v/>
      </c>
      <c r="L170" s="22" t="inlineStr">
        <is>
          <t>CFO</t>
        </is>
      </c>
      <c r="M170" s="21" t="n"/>
    </row>
    <row r="171">
      <c r="A171" s="10" t="n">
        <v>315</v>
      </c>
      <c r="B171" s="11" t="n">
        <v>45741</v>
      </c>
      <c r="C171" s="12" t="inlineStr">
        <is>
          <t>0072</t>
        </is>
      </c>
      <c r="D171" s="10" t="inlineStr">
        <is>
          <t>N/FRA. Nº 0072 SE SORTEA SL</t>
        </is>
      </c>
      <c r="E171" s="13" t="n">
        <v>70500000000</v>
      </c>
      <c r="F171" s="14" t="n">
        <v>0</v>
      </c>
      <c r="G171" s="14" t="n">
        <v>1050.721715364069</v>
      </c>
      <c r="H171" s="14" t="n">
        <v>0</v>
      </c>
      <c r="I171" s="14" t="inlineStr">
        <is>
          <t>PRESTACIONES DE SERVICIOS</t>
        </is>
      </c>
      <c r="J171" s="21">
        <f>G171-F171</f>
        <v/>
      </c>
      <c r="K171" s="22">
        <f>EOMONTH(B171,0)</f>
        <v/>
      </c>
      <c r="L171" s="22" t="inlineStr">
        <is>
          <t>CFO</t>
        </is>
      </c>
      <c r="M171" s="21" t="n"/>
    </row>
    <row r="172">
      <c r="A172" s="10" t="n">
        <v>317</v>
      </c>
      <c r="B172" s="11" t="n">
        <v>45731</v>
      </c>
      <c r="C172" s="12" t="inlineStr">
        <is>
          <t>0005</t>
        </is>
      </c>
      <c r="D172" s="10" t="inlineStr">
        <is>
          <t>S/FRA. Nº 0005 FINCAS LEBEL SL</t>
        </is>
      </c>
      <c r="E172" s="13" t="n">
        <v>621</v>
      </c>
      <c r="F172" s="14" t="n">
        <v>387.0268699093224</v>
      </c>
      <c r="G172" s="14" t="n">
        <v>0</v>
      </c>
      <c r="H172" s="14" t="n">
        <v>0</v>
      </c>
      <c r="I172" s="14" t="inlineStr">
        <is>
          <t>ARRENDAMIENTOS Y CANONES</t>
        </is>
      </c>
      <c r="J172" s="21">
        <f>G172-F172</f>
        <v/>
      </c>
      <c r="K172" s="22">
        <f>EOMONTH(B172,0)</f>
        <v/>
      </c>
      <c r="L172" s="22" t="inlineStr">
        <is>
          <t>Admin</t>
        </is>
      </c>
      <c r="M172" s="21" t="n"/>
    </row>
    <row r="173">
      <c r="A173" s="10" t="n">
        <v>318</v>
      </c>
      <c r="B173" s="11" t="n">
        <v>45731</v>
      </c>
      <c r="C173" s="12" t="inlineStr">
        <is>
          <t>0494</t>
        </is>
      </c>
      <c r="D173" s="10" t="inlineStr">
        <is>
          <t>S/FRA. Nº 0494 WORKCENTER SERVICIOS GLOBALES DE DOCUMENTACION SA</t>
        </is>
      </c>
      <c r="E173" s="13" t="n">
        <v>62900000001</v>
      </c>
      <c r="F173" s="14" t="n">
        <v>12.20172551100701</v>
      </c>
      <c r="G173" s="14" t="n">
        <v>0</v>
      </c>
      <c r="H173" s="14" t="n">
        <v>0</v>
      </c>
      <c r="I173" s="14" t="inlineStr">
        <is>
          <t>GASTOS MATERIAL OFICINA</t>
        </is>
      </c>
      <c r="J173" s="21">
        <f>G173-F173</f>
        <v/>
      </c>
      <c r="K173" s="22">
        <f>EOMONTH(B173,0)</f>
        <v/>
      </c>
      <c r="L173" s="22" t="inlineStr">
        <is>
          <t>Admin</t>
        </is>
      </c>
      <c r="M173" s="21" t="n"/>
    </row>
    <row r="174">
      <c r="A174" s="10" t="n">
        <v>319</v>
      </c>
      <c r="B174" s="11" t="n">
        <v>45731</v>
      </c>
      <c r="C174" s="12" t="inlineStr">
        <is>
          <t>TIKCET</t>
        </is>
      </c>
      <c r="D174" s="10" t="inlineStr">
        <is>
          <t>S/FRA. Nº TIKCET ACREEDORES POR PRESTACIÓN DE SERVICIOS</t>
        </is>
      </c>
      <c r="E174" s="13" t="n">
        <v>62900000000</v>
      </c>
      <c r="F174" s="14" t="n">
        <v>21.91982758833772</v>
      </c>
      <c r="G174" s="14" t="n">
        <v>0</v>
      </c>
      <c r="H174" s="14" t="n">
        <v>0</v>
      </c>
      <c r="I174" s="14" t="inlineStr">
        <is>
          <t>OTROS SERVICIOS</t>
        </is>
      </c>
      <c r="J174" s="21">
        <f>G174-F174</f>
        <v/>
      </c>
      <c r="K174" s="22">
        <f>EOMONTH(B174,0)</f>
        <v/>
      </c>
      <c r="L174" s="22" t="inlineStr">
        <is>
          <t>Admin</t>
        </is>
      </c>
      <c r="M174" s="21" t="n"/>
    </row>
    <row r="175">
      <c r="A175" s="10" t="n">
        <v>320</v>
      </c>
      <c r="B175" s="11" t="n">
        <v>45733</v>
      </c>
      <c r="C175" s="12" t="inlineStr">
        <is>
          <t>TICKET</t>
        </is>
      </c>
      <c r="D175" s="10" t="inlineStr">
        <is>
          <t>S/FRA. Nº TICKET ACREEDORES POR PRESTACIÓN DE SERVICIOS</t>
        </is>
      </c>
      <c r="E175" s="13" t="n">
        <v>62900000000</v>
      </c>
      <c r="F175" s="14" t="n">
        <v>88.5977840075314</v>
      </c>
      <c r="G175" s="14" t="n">
        <v>0</v>
      </c>
      <c r="H175" s="14" t="n">
        <v>0</v>
      </c>
      <c r="I175" s="14" t="inlineStr">
        <is>
          <t>OTROS SERVICIOS</t>
        </is>
      </c>
      <c r="J175" s="21">
        <f>G175-F175</f>
        <v/>
      </c>
      <c r="K175" s="22">
        <f>EOMONTH(B175,0)</f>
        <v/>
      </c>
      <c r="L175" s="22" t="inlineStr">
        <is>
          <t>Admin</t>
        </is>
      </c>
      <c r="M175" s="21" t="n"/>
    </row>
    <row r="176">
      <c r="A176" s="10" t="n">
        <v>322</v>
      </c>
      <c r="B176" s="11" t="n">
        <v>45739</v>
      </c>
      <c r="C176" s="12" t="inlineStr">
        <is>
          <t>TICKET</t>
        </is>
      </c>
      <c r="D176" s="10" t="inlineStr">
        <is>
          <t>S/FRA. Nº TICKET ACREEDORES POR PRESTACIÓN DE SERVICIOS</t>
        </is>
      </c>
      <c r="E176" s="13" t="n">
        <v>62900000000</v>
      </c>
      <c r="F176" s="14" t="n">
        <v>48.98049687359941</v>
      </c>
      <c r="G176" s="14" t="n">
        <v>0</v>
      </c>
      <c r="H176" s="14" t="n">
        <v>0</v>
      </c>
      <c r="I176" s="14" t="inlineStr">
        <is>
          <t>OTROS SERVICIOS</t>
        </is>
      </c>
      <c r="J176" s="21">
        <f>G176-F176</f>
        <v/>
      </c>
      <c r="K176" s="22">
        <f>EOMONTH(B176,0)</f>
        <v/>
      </c>
      <c r="L176" s="22" t="inlineStr">
        <is>
          <t>Admin</t>
        </is>
      </c>
      <c r="M176" s="21" t="n"/>
    </row>
    <row r="177">
      <c r="A177" s="10" t="n">
        <v>323</v>
      </c>
      <c r="B177" s="11" t="n">
        <v>45740</v>
      </c>
      <c r="C177" s="12" t="inlineStr">
        <is>
          <t>0011</t>
        </is>
      </c>
      <c r="D177" s="10" t="inlineStr">
        <is>
          <t>S/FRA. Nº 0011 OCIO AL FILO, S.L.</t>
        </is>
      </c>
      <c r="E177" s="13" t="n">
        <v>62900000000</v>
      </c>
      <c r="F177" s="14" t="n">
        <v>28.70967320710789</v>
      </c>
      <c r="G177" s="14" t="n">
        <v>0</v>
      </c>
      <c r="H177" s="14" t="n">
        <v>0</v>
      </c>
      <c r="I177" s="14" t="inlineStr">
        <is>
          <t>OTROS SERVICIOS</t>
        </is>
      </c>
      <c r="J177" s="21">
        <f>G177-F177</f>
        <v/>
      </c>
      <c r="K177" s="22">
        <f>EOMONTH(B177,0)</f>
        <v/>
      </c>
      <c r="L177" s="22" t="inlineStr">
        <is>
          <t>Admin</t>
        </is>
      </c>
      <c r="M177" s="21" t="n"/>
    </row>
    <row r="178">
      <c r="A178" s="10" t="n">
        <v>324</v>
      </c>
      <c r="B178" s="11" t="n">
        <v>45741</v>
      </c>
      <c r="C178" s="12" t="inlineStr">
        <is>
          <t>XB7X</t>
        </is>
      </c>
      <c r="D178" s="10" t="inlineStr">
        <is>
          <t>S/FRA. Nº XB7X MICROSOFT IRLAND OPERATIONS LTD</t>
        </is>
      </c>
      <c r="E178" s="13" t="n">
        <v>62900000000</v>
      </c>
      <c r="F178" s="14" t="n">
        <v>49.09408030023043</v>
      </c>
      <c r="G178" s="14" t="n">
        <v>0</v>
      </c>
      <c r="H178" s="14" t="n">
        <v>0</v>
      </c>
      <c r="I178" s="14" t="inlineStr">
        <is>
          <t>OTROS SERVICIOS</t>
        </is>
      </c>
      <c r="J178" s="21">
        <f>G178-F178</f>
        <v/>
      </c>
      <c r="K178" s="22">
        <f>EOMONTH(B178,0)</f>
        <v/>
      </c>
      <c r="L178" s="22" t="inlineStr">
        <is>
          <t>IT</t>
        </is>
      </c>
      <c r="M178" s="21" t="n"/>
    </row>
    <row r="179">
      <c r="A179" s="10" t="n">
        <v>338</v>
      </c>
      <c r="B179" s="11" t="n">
        <v>45741</v>
      </c>
      <c r="C179" s="12" t="inlineStr"/>
      <c r="D179" s="10" t="inlineStr">
        <is>
          <t>COMISIONES CAIXABANK 9463</t>
        </is>
      </c>
      <c r="E179" s="13" t="n">
        <v>626</v>
      </c>
      <c r="F179" s="14" t="n">
        <v>1.400697786231314</v>
      </c>
      <c r="G179" s="14" t="n">
        <v>0</v>
      </c>
      <c r="H179" s="14" t="n">
        <v>0</v>
      </c>
      <c r="I179" s="14" t="inlineStr">
        <is>
          <t>SERVICIOS BANCARIOS Y SIMILARES</t>
        </is>
      </c>
      <c r="J179" s="21">
        <f>G179-F179</f>
        <v/>
      </c>
      <c r="K179" s="22">
        <f>EOMONTH(B179,0)</f>
        <v/>
      </c>
      <c r="L179" s="22" t="inlineStr">
        <is>
          <t>Admin</t>
        </is>
      </c>
      <c r="M179" s="21" t="n"/>
    </row>
    <row r="180">
      <c r="A180" s="10" t="n">
        <v>343</v>
      </c>
      <c r="B180" s="11" t="n">
        <v>45742</v>
      </c>
      <c r="C180" s="12" t="inlineStr"/>
      <c r="D180" s="10" t="inlineStr">
        <is>
          <t>COMISIONES CAIXABANK 9463</t>
        </is>
      </c>
      <c r="E180" s="13" t="n">
        <v>626</v>
      </c>
      <c r="F180" s="14" t="n">
        <v>0.50152396254364</v>
      </c>
      <c r="G180" s="14" t="n">
        <v>0</v>
      </c>
      <c r="H180" s="14" t="n">
        <v>0</v>
      </c>
      <c r="I180" s="14" t="inlineStr">
        <is>
          <t>SERVICIOS BANCARIOS Y SIMILARES</t>
        </is>
      </c>
      <c r="J180" s="21">
        <f>G180-F180</f>
        <v/>
      </c>
      <c r="K180" s="22">
        <f>EOMONTH(B180,0)</f>
        <v/>
      </c>
      <c r="L180" s="22" t="inlineStr">
        <is>
          <t>Admin</t>
        </is>
      </c>
      <c r="M180" s="21" t="n"/>
    </row>
    <row r="181">
      <c r="A181" s="10" t="n">
        <v>349</v>
      </c>
      <c r="B181" s="11" t="n">
        <v>45745</v>
      </c>
      <c r="C181" s="12" t="inlineStr"/>
      <c r="D181" s="10" t="inlineStr">
        <is>
          <t>SHIFT SHIFT TECHNOLOGIES INC</t>
        </is>
      </c>
      <c r="E181" s="13" t="n">
        <v>668</v>
      </c>
      <c r="F181" s="14" t="n">
        <v>16.81252628524302</v>
      </c>
      <c r="G181" s="14" t="n">
        <v>0</v>
      </c>
      <c r="H181" s="14" t="n">
        <v>0</v>
      </c>
      <c r="I181" s="14" t="inlineStr">
        <is>
          <t>DIFERENCIAS NEGATIVAS DE CAMBIO</t>
        </is>
      </c>
      <c r="J181" s="21">
        <f>G181-F181</f>
        <v/>
      </c>
      <c r="K181" s="22">
        <f>EOMONTH(B181,0)</f>
        <v/>
      </c>
      <c r="L181" s="22" t="inlineStr">
        <is>
          <t>NA</t>
        </is>
      </c>
      <c r="M181" s="21" t="n"/>
    </row>
    <row r="182">
      <c r="A182" s="10" t="n">
        <v>352</v>
      </c>
      <c r="B182" s="11" t="n">
        <v>45746</v>
      </c>
      <c r="C182" s="12" t="inlineStr"/>
      <c r="D182" s="10" t="inlineStr">
        <is>
          <t>PR FA CAIXABANK 9463</t>
        </is>
      </c>
      <c r="E182" s="13" t="n">
        <v>626</v>
      </c>
      <c r="F182" s="14" t="n">
        <v>8.928892669933008</v>
      </c>
      <c r="G182" s="14" t="n">
        <v>0</v>
      </c>
      <c r="H182" s="14" t="n">
        <v>0</v>
      </c>
      <c r="I182" s="14" t="inlineStr">
        <is>
          <t>SERVICIOS BANCARIOS Y SIMILARES</t>
        </is>
      </c>
      <c r="J182" s="21">
        <f>G182-F182</f>
        <v/>
      </c>
      <c r="K182" s="22">
        <f>EOMONTH(B182,0)</f>
        <v/>
      </c>
      <c r="L182" s="22" t="inlineStr">
        <is>
          <t>Admin</t>
        </is>
      </c>
      <c r="M182" s="21" t="n"/>
    </row>
    <row r="183">
      <c r="A183" s="10" t="n">
        <v>363</v>
      </c>
      <c r="B183" s="11" t="n">
        <v>45743</v>
      </c>
      <c r="C183" s="12" t="inlineStr">
        <is>
          <t>2924</t>
        </is>
      </c>
      <c r="D183" s="10" t="inlineStr">
        <is>
          <t>S/FRA. Nº 2924 LINKEDIN IRELAND UNLIMETED</t>
        </is>
      </c>
      <c r="E183" s="13" t="n">
        <v>62900000000</v>
      </c>
      <c r="F183" s="14" t="n">
        <v>27.12261261545649</v>
      </c>
      <c r="G183" s="14" t="n">
        <v>0</v>
      </c>
      <c r="H183" s="14" t="n">
        <v>0</v>
      </c>
      <c r="I183" s="14" t="inlineStr">
        <is>
          <t>OTROS SERVICIOS</t>
        </is>
      </c>
      <c r="J183" s="21">
        <f>G183-F183</f>
        <v/>
      </c>
      <c r="K183" s="22">
        <f>EOMONTH(B183,0)</f>
        <v/>
      </c>
      <c r="L183" s="22" t="inlineStr">
        <is>
          <t>Sales</t>
        </is>
      </c>
      <c r="M183" s="21" t="n"/>
    </row>
    <row r="184">
      <c r="A184" s="10" t="n">
        <v>364</v>
      </c>
      <c r="B184" s="11" t="n">
        <v>45745</v>
      </c>
      <c r="C184" s="12" t="inlineStr">
        <is>
          <t>6200</t>
        </is>
      </c>
      <c r="D184" s="10" t="inlineStr">
        <is>
          <t>S/FRA. Nº 6200 LOGMEIN IRELAND UNLIMETED COMPANY</t>
        </is>
      </c>
      <c r="E184" s="13" t="n">
        <v>62900000000</v>
      </c>
      <c r="F184" s="14" t="n">
        <v>32.09994460238345</v>
      </c>
      <c r="G184" s="14" t="n">
        <v>0</v>
      </c>
      <c r="H184" s="14" t="n">
        <v>0</v>
      </c>
      <c r="I184" s="14" t="inlineStr">
        <is>
          <t>OTROS SERVICIOS</t>
        </is>
      </c>
      <c r="J184" s="21">
        <f>G184-F184</f>
        <v/>
      </c>
      <c r="K184" s="22">
        <f>EOMONTH(B184,0)</f>
        <v/>
      </c>
      <c r="L184" s="22" t="inlineStr">
        <is>
          <t>IT</t>
        </is>
      </c>
      <c r="M184" s="21" t="n"/>
    </row>
    <row r="185">
      <c r="A185" s="10" t="n">
        <v>365</v>
      </c>
      <c r="B185" s="11" t="n">
        <v>45745</v>
      </c>
      <c r="C185" s="12" t="inlineStr">
        <is>
          <t>9407</t>
        </is>
      </c>
      <c r="D185" s="10" t="inlineStr">
        <is>
          <t>S/FRA. Nº 9407 SHIFT TECHNOLOGIES INC</t>
        </is>
      </c>
      <c r="E185" s="13" t="n">
        <v>62900000000</v>
      </c>
      <c r="F185" s="14" t="n">
        <v>91.14748320035034</v>
      </c>
      <c r="G185" s="14" t="n">
        <v>0</v>
      </c>
      <c r="H185" s="14" t="n">
        <v>0</v>
      </c>
      <c r="I185" s="14" t="inlineStr">
        <is>
          <t>OTROS SERVICIOS</t>
        </is>
      </c>
      <c r="J185" s="21">
        <f>G185-F185</f>
        <v/>
      </c>
      <c r="K185" s="22">
        <f>EOMONTH(B185,0)</f>
        <v/>
      </c>
      <c r="L185" s="22" t="inlineStr">
        <is>
          <t>IT</t>
        </is>
      </c>
      <c r="M185" s="21" t="n"/>
    </row>
    <row r="186">
      <c r="A186" s="10" t="n">
        <v>366</v>
      </c>
      <c r="B186" s="11" t="n">
        <v>45745</v>
      </c>
      <c r="C186" s="12" t="inlineStr">
        <is>
          <t>0004</t>
        </is>
      </c>
      <c r="D186" s="10" t="inlineStr">
        <is>
          <t>S/FRA. Nº 0004 GONZALO REY ABELAIRA</t>
        </is>
      </c>
      <c r="E186" s="13" t="n">
        <v>62900000000</v>
      </c>
      <c r="F186" s="14" t="n">
        <v>153.5281121412593</v>
      </c>
      <c r="G186" s="14" t="n">
        <v>0</v>
      </c>
      <c r="H186" s="14" t="n">
        <v>0</v>
      </c>
      <c r="I186" s="14" t="inlineStr">
        <is>
          <t>OTROS SERVICIOS</t>
        </is>
      </c>
      <c r="J186" s="21">
        <f>G186-F186</f>
        <v/>
      </c>
      <c r="K186" s="22">
        <f>EOMONTH(B186,0)</f>
        <v/>
      </c>
      <c r="L186" s="22" t="inlineStr">
        <is>
          <t>Sales</t>
        </is>
      </c>
      <c r="M186" s="21" t="n"/>
    </row>
    <row r="187">
      <c r="A187" s="10" t="n">
        <v>367</v>
      </c>
      <c r="B187" s="11" t="n">
        <v>45747</v>
      </c>
      <c r="C187" s="12" t="inlineStr">
        <is>
          <t>0004</t>
        </is>
      </c>
      <c r="D187" s="10" t="inlineStr">
        <is>
          <t>S/FRA. Nº 0004 MAIALEN ECIOLAZA SANTOS</t>
        </is>
      </c>
      <c r="E187" s="13" t="n">
        <v>62900000000</v>
      </c>
      <c r="F187" s="14" t="n">
        <v>108.2062852167028</v>
      </c>
      <c r="G187" s="14" t="n">
        <v>0</v>
      </c>
      <c r="H187" s="14" t="n">
        <v>0</v>
      </c>
      <c r="I187" s="14" t="inlineStr">
        <is>
          <t>OTROS SERVICIOS</t>
        </is>
      </c>
      <c r="J187" s="21">
        <f>G187-F187</f>
        <v/>
      </c>
      <c r="K187" s="22">
        <f>EOMONTH(B187,0)</f>
        <v/>
      </c>
      <c r="L187" s="22" t="inlineStr">
        <is>
          <t>Admin</t>
        </is>
      </c>
      <c r="M187" s="21" t="n"/>
    </row>
    <row r="188">
      <c r="A188" s="10" t="n">
        <v>368</v>
      </c>
      <c r="B188" s="11" t="n">
        <v>45747</v>
      </c>
      <c r="C188" s="12" t="inlineStr">
        <is>
          <t>4140</t>
        </is>
      </c>
      <c r="D188" s="10" t="inlineStr">
        <is>
          <t>S/FRA. Nº 4140 GOOGLE IRELAND LIMITED</t>
        </is>
      </c>
      <c r="E188" s="13" t="n">
        <v>62900000000</v>
      </c>
      <c r="F188" s="14" t="n">
        <v>174.8903470913589</v>
      </c>
      <c r="G188" s="14" t="n">
        <v>0</v>
      </c>
      <c r="H188" s="14" t="n">
        <v>0</v>
      </c>
      <c r="I188" s="14" t="inlineStr">
        <is>
          <t>OTROS SERVICIOS</t>
        </is>
      </c>
      <c r="J188" s="21">
        <f>G188-F188</f>
        <v/>
      </c>
      <c r="K188" s="22">
        <f>EOMONTH(B188,0)</f>
        <v/>
      </c>
      <c r="L188" s="22" t="inlineStr">
        <is>
          <t>IT</t>
        </is>
      </c>
      <c r="M188" s="21" t="n"/>
    </row>
    <row r="189">
      <c r="A189" s="10" t="n">
        <v>369</v>
      </c>
      <c r="B189" s="11" t="n">
        <v>45747</v>
      </c>
      <c r="C189" s="12" t="inlineStr">
        <is>
          <t>NOMINAS</t>
        </is>
      </c>
      <c r="D189" s="10" t="inlineStr">
        <is>
          <t>S/FRA. Nº NOMINAS [PROVEEDOR]</t>
        </is>
      </c>
      <c r="E189" s="13" t="n">
        <v>640</v>
      </c>
      <c r="F189" s="14" t="n">
        <v>12929.87121949772</v>
      </c>
      <c r="G189" s="14" t="n">
        <v>0</v>
      </c>
      <c r="H189" s="14" t="n">
        <v>0</v>
      </c>
      <c r="I189" s="14" t="inlineStr">
        <is>
          <t>SUELDOS Y SALARIOS</t>
        </is>
      </c>
      <c r="J189" s="21">
        <f>G189-F189</f>
        <v/>
      </c>
      <c r="K189" s="22">
        <f>EOMONTH(B189,0)</f>
        <v/>
      </c>
      <c r="L189" s="22" t="inlineStr">
        <is>
          <t>NA</t>
        </is>
      </c>
      <c r="M189" s="21" t="n"/>
    </row>
    <row r="190">
      <c r="A190" s="10" t="n">
        <v>369</v>
      </c>
      <c r="B190" s="11" t="n">
        <v>45747</v>
      </c>
      <c r="C190" s="12" t="inlineStr">
        <is>
          <t>NOMINAS</t>
        </is>
      </c>
      <c r="D190" s="10" t="inlineStr">
        <is>
          <t>S/FRA. Nº NOMINAS [PROVEEDOR]</t>
        </is>
      </c>
      <c r="E190" s="13" t="n">
        <v>642</v>
      </c>
      <c r="F190" s="14" t="n">
        <v>578.5460560934602</v>
      </c>
      <c r="G190" s="14" t="n">
        <v>0</v>
      </c>
      <c r="H190" s="14" t="n">
        <v>0</v>
      </c>
      <c r="I190" s="14" t="inlineStr">
        <is>
          <t>SEGURIDAD SOCIAL A CARGO DE LA EMPRESA</t>
        </is>
      </c>
      <c r="J190" s="21">
        <f>G190-F190</f>
        <v/>
      </c>
      <c r="K190" s="22">
        <f>EOMONTH(B190,0)</f>
        <v/>
      </c>
      <c r="L190" s="22" t="inlineStr">
        <is>
          <t>NA</t>
        </is>
      </c>
      <c r="M190" s="21" t="n"/>
    </row>
    <row r="191">
      <c r="A191" s="10" t="n">
        <v>369</v>
      </c>
      <c r="B191" s="11" t="n">
        <v>45747</v>
      </c>
      <c r="C191" s="12" t="inlineStr">
        <is>
          <t>NOMINAS</t>
        </is>
      </c>
      <c r="D191" s="10" t="inlineStr">
        <is>
          <t>S/FRA. Nº NOMINAS [PROVEEDOR]</t>
        </is>
      </c>
      <c r="E191" s="13" t="n">
        <v>755</v>
      </c>
      <c r="F191" s="14" t="n">
        <v>0</v>
      </c>
      <c r="G191" s="14" t="n">
        <v>1454.567593149568</v>
      </c>
      <c r="H191" s="14" t="n">
        <v>0</v>
      </c>
      <c r="I191" s="14" t="inlineStr">
        <is>
          <t>INGRESOS POR SERVICIOS AL PERSONAL</t>
        </is>
      </c>
      <c r="J191" s="21">
        <f>G191-F191</f>
        <v/>
      </c>
      <c r="K191" s="22">
        <f>EOMONTH(B191,0)</f>
        <v/>
      </c>
      <c r="L191" s="22" t="inlineStr">
        <is>
          <t>Admin</t>
        </is>
      </c>
      <c r="M191" s="21" t="n"/>
    </row>
    <row r="192">
      <c r="A192" s="10" t="n">
        <v>370</v>
      </c>
      <c r="B192" s="11" t="n">
        <v>45747</v>
      </c>
      <c r="C192" s="12" t="inlineStr">
        <is>
          <t>0784</t>
        </is>
      </c>
      <c r="D192" s="10" t="inlineStr">
        <is>
          <t>S/FRA. Nº  0784 PERK FINANCE, S.L.</t>
        </is>
      </c>
      <c r="E192" s="13" t="n">
        <v>62900000000</v>
      </c>
      <c r="F192" s="14" t="n">
        <v>1555.754188326402</v>
      </c>
      <c r="G192" s="14" t="n">
        <v>0</v>
      </c>
      <c r="H192" s="14" t="n">
        <v>0</v>
      </c>
      <c r="I192" s="14" t="inlineStr">
        <is>
          <t>OTROS SERVICIOS</t>
        </is>
      </c>
      <c r="J192" s="21">
        <f>G192-F192</f>
        <v/>
      </c>
      <c r="K192" s="22">
        <f>EOMONTH(B192,0)</f>
        <v/>
      </c>
      <c r="L192" s="22" t="inlineStr">
        <is>
          <t>Admin</t>
        </is>
      </c>
      <c r="M192" s="21" t="n"/>
    </row>
    <row r="193">
      <c r="A193" s="10" t="n">
        <v>370</v>
      </c>
      <c r="B193" s="11" t="n">
        <v>45747</v>
      </c>
      <c r="C193" s="12" t="inlineStr">
        <is>
          <t>0784</t>
        </is>
      </c>
      <c r="D193" s="10" t="inlineStr">
        <is>
          <t>S/FRA. Nº  0784 PERK FINANCE, S.L.</t>
        </is>
      </c>
      <c r="E193" s="13" t="n">
        <v>62900000000</v>
      </c>
      <c r="F193" s="14" t="n">
        <v>74.18788153167478</v>
      </c>
      <c r="G193" s="14" t="n">
        <v>0</v>
      </c>
      <c r="H193" s="14" t="n">
        <v>0</v>
      </c>
      <c r="I193" s="14" t="inlineStr">
        <is>
          <t>OTROS SERVICIOS</t>
        </is>
      </c>
      <c r="J193" s="21">
        <f>G193-F193</f>
        <v/>
      </c>
      <c r="K193" s="22">
        <f>EOMONTH(B193,0)</f>
        <v/>
      </c>
      <c r="L193" s="22" t="inlineStr">
        <is>
          <t>Admin</t>
        </is>
      </c>
      <c r="M193" s="21" t="n"/>
    </row>
    <row r="194">
      <c r="A194" s="10" t="n">
        <v>371</v>
      </c>
      <c r="B194" s="11" t="n">
        <v>45734</v>
      </c>
      <c r="C194" s="12" t="inlineStr">
        <is>
          <t>0012</t>
        </is>
      </c>
      <c r="D194" s="10" t="inlineStr">
        <is>
          <t>S/FRA. Nº 0012 ANA ISABEL FRAIDIAS MARIN</t>
        </is>
      </c>
      <c r="E194" s="13" t="n">
        <v>62900000001</v>
      </c>
      <c r="F194" s="14" t="n">
        <v>5.554816246760923</v>
      </c>
      <c r="G194" s="14" t="n">
        <v>0</v>
      </c>
      <c r="H194" s="14" t="n">
        <v>0</v>
      </c>
      <c r="I194" s="14" t="inlineStr">
        <is>
          <t>GASTOS MATERIAL OFICINA</t>
        </is>
      </c>
      <c r="J194" s="21">
        <f>G194-F194</f>
        <v/>
      </c>
      <c r="K194" s="22">
        <f>EOMONTH(B194,0)</f>
        <v/>
      </c>
      <c r="L194" s="22" t="inlineStr">
        <is>
          <t>Admin</t>
        </is>
      </c>
      <c r="M194" s="21" t="n"/>
    </row>
    <row r="195">
      <c r="A195" s="10" t="n">
        <v>372</v>
      </c>
      <c r="B195" s="11" t="n">
        <v>45734</v>
      </c>
      <c r="C195" s="12" t="inlineStr">
        <is>
          <t>0530</t>
        </is>
      </c>
      <c r="D195" s="10" t="inlineStr">
        <is>
          <t>S/FRA. Nº 0530 AMAZON EU SARL SUCURSAL EN ESPAÑA</t>
        </is>
      </c>
      <c r="E195" s="13" t="n">
        <v>62900000001</v>
      </c>
      <c r="F195" s="14" t="n">
        <v>3.568855602797199</v>
      </c>
      <c r="G195" s="14" t="n">
        <v>0</v>
      </c>
      <c r="H195" s="14" t="n">
        <v>0</v>
      </c>
      <c r="I195" s="14" t="inlineStr">
        <is>
          <t>GASTOS MATERIAL OFICINA</t>
        </is>
      </c>
      <c r="J195" s="21">
        <f>G195-F195</f>
        <v/>
      </c>
      <c r="K195" s="22">
        <f>EOMONTH(B195,0)</f>
        <v/>
      </c>
      <c r="L195" s="22" t="inlineStr">
        <is>
          <t>IT</t>
        </is>
      </c>
      <c r="M195" s="21" t="n"/>
    </row>
    <row r="196">
      <c r="A196" s="10" t="n">
        <v>373</v>
      </c>
      <c r="B196" s="11" t="n">
        <v>45746</v>
      </c>
      <c r="C196" s="12" t="inlineStr">
        <is>
          <t>8054</t>
        </is>
      </c>
      <c r="D196" s="10" t="inlineStr">
        <is>
          <t>S/FRA. Nº 8054 SHENZHENSHIYINGFEIKEDIANZIYOUXIANGONGSI</t>
        </is>
      </c>
      <c r="E196" s="13" t="n">
        <v>62900000001</v>
      </c>
      <c r="F196" s="14" t="n">
        <v>17.29778387301076</v>
      </c>
      <c r="G196" s="14" t="n">
        <v>0</v>
      </c>
      <c r="H196" s="14" t="n">
        <v>0</v>
      </c>
      <c r="I196" s="14" t="inlineStr">
        <is>
          <t>GASTOS MATERIAL OFICINA</t>
        </is>
      </c>
      <c r="J196" s="21">
        <f>G196-F196</f>
        <v/>
      </c>
      <c r="K196" s="22">
        <f>EOMONTH(B196,0)</f>
        <v/>
      </c>
      <c r="L196" s="22" t="inlineStr">
        <is>
          <t>Admin</t>
        </is>
      </c>
      <c r="M196" s="21" t="n"/>
    </row>
    <row r="197">
      <c r="A197" s="10" t="n">
        <v>374</v>
      </c>
      <c r="B197" s="11" t="n">
        <v>45734</v>
      </c>
      <c r="C197" s="12" t="inlineStr">
        <is>
          <t>0085</t>
        </is>
      </c>
      <c r="D197" s="10" t="inlineStr">
        <is>
          <t>S/FRA. Nº 0085 PROYENE SL</t>
        </is>
      </c>
      <c r="E197" s="13" t="n">
        <v>62900000001</v>
      </c>
      <c r="F197" s="14" t="n">
        <v>13.49567707661689</v>
      </c>
      <c r="G197" s="14" t="n">
        <v>0</v>
      </c>
      <c r="H197" s="14" t="n">
        <v>0</v>
      </c>
      <c r="I197" s="14" t="inlineStr">
        <is>
          <t>GASTOS MATERIAL OFICINA</t>
        </is>
      </c>
      <c r="J197" s="21">
        <f>G197-F197</f>
        <v/>
      </c>
      <c r="K197" s="22">
        <f>EOMONTH(B197,0)</f>
        <v/>
      </c>
      <c r="L197" s="22" t="inlineStr">
        <is>
          <t>Admin</t>
        </is>
      </c>
      <c r="M197" s="21" t="n"/>
    </row>
    <row r="198">
      <c r="A198" s="10" t="n">
        <v>375</v>
      </c>
      <c r="B198" s="11" t="n">
        <v>45747</v>
      </c>
      <c r="C198" s="12" t="inlineStr">
        <is>
          <t>TDNY</t>
        </is>
      </c>
      <c r="D198" s="10" t="inlineStr">
        <is>
          <t>S/FRA. Nº TDNY DROPBOX INTERNATIONAL UNLIMETED COMPANY</t>
        </is>
      </c>
      <c r="E198" s="13" t="n">
        <v>62900000000</v>
      </c>
      <c r="F198" s="14" t="n">
        <v>2.414661401272735</v>
      </c>
      <c r="G198" s="14" t="n">
        <v>0</v>
      </c>
      <c r="H198" s="14" t="n">
        <v>0</v>
      </c>
      <c r="I198" s="14" t="inlineStr">
        <is>
          <t>OTROS SERVICIOS</t>
        </is>
      </c>
      <c r="J198" s="21">
        <f>G198-F198</f>
        <v/>
      </c>
      <c r="K198" s="22">
        <f>EOMONTH(B198,0)</f>
        <v/>
      </c>
      <c r="L198" s="22" t="inlineStr">
        <is>
          <t>IT</t>
        </is>
      </c>
      <c r="M198" s="21" t="n"/>
    </row>
    <row r="199">
      <c r="A199" s="10" t="n">
        <v>376</v>
      </c>
      <c r="B199" s="11" t="n">
        <v>45743</v>
      </c>
      <c r="C199" s="12" t="inlineStr">
        <is>
          <t>4734</t>
        </is>
      </c>
      <c r="D199" s="10" t="inlineStr">
        <is>
          <t>S/FRA. Nº 4734 LINKEDIN IRELAND UNLIMETED</t>
        </is>
      </c>
      <c r="E199" s="13" t="n">
        <v>62900000000</v>
      </c>
      <c r="F199" s="14" t="n">
        <v>38.54477151563825</v>
      </c>
      <c r="G199" s="14" t="n">
        <v>0</v>
      </c>
      <c r="H199" s="14" t="n">
        <v>0</v>
      </c>
      <c r="I199" s="14" t="inlineStr">
        <is>
          <t>OTROS SERVICIOS</t>
        </is>
      </c>
      <c r="J199" s="21">
        <f>G199-F199</f>
        <v/>
      </c>
      <c r="K199" s="22">
        <f>EOMONTH(B199,0)</f>
        <v/>
      </c>
      <c r="L199" s="22" t="inlineStr">
        <is>
          <t>Sales</t>
        </is>
      </c>
      <c r="M199" s="21" t="n"/>
    </row>
    <row r="200">
      <c r="A200" s="10" t="n">
        <v>377</v>
      </c>
      <c r="B200" s="11" t="n">
        <v>45747</v>
      </c>
      <c r="C200" s="12" t="inlineStr">
        <is>
          <t>0259</t>
        </is>
      </c>
      <c r="D200" s="10" t="inlineStr">
        <is>
          <t>S/FRA. Nº 0259 REFRUITING,S.L</t>
        </is>
      </c>
      <c r="E200" s="13" t="n">
        <v>62900000001</v>
      </c>
      <c r="F200" s="14" t="n">
        <v>43.80680376358146</v>
      </c>
      <c r="G200" s="14" t="n">
        <v>0</v>
      </c>
      <c r="H200" s="14" t="n">
        <v>0</v>
      </c>
      <c r="I200" s="14" t="inlineStr">
        <is>
          <t>GASTOS MATERIAL OFICINA</t>
        </is>
      </c>
      <c r="J200" s="21">
        <f>G200-F200</f>
        <v/>
      </c>
      <c r="K200" s="22">
        <f>EOMONTH(B200,0)</f>
        <v/>
      </c>
      <c r="L200" s="22" t="inlineStr">
        <is>
          <t>Admin</t>
        </is>
      </c>
      <c r="M200" s="21" t="n"/>
    </row>
    <row r="201" customFormat="1" s="2">
      <c r="A201" s="26" t="n">
        <v>127</v>
      </c>
      <c r="B201" s="27" t="n">
        <v>45677</v>
      </c>
      <c r="C201" s="28" t="inlineStr">
        <is>
          <t>0559</t>
        </is>
      </c>
      <c r="D201" s="26" t="inlineStr">
        <is>
          <t>S/FRA. Nº 0559 SHENZHENSHI PAILEGAO KEJI YOUXIANGONGSI</t>
        </is>
      </c>
      <c r="E201" s="29" t="n">
        <v>62900000001</v>
      </c>
      <c r="F201" s="30" t="n">
        <v>44.3</v>
      </c>
      <c r="G201" s="30" t="n">
        <v>0</v>
      </c>
      <c r="H201" s="30" t="n">
        <v>0</v>
      </c>
      <c r="I201" s="30" t="inlineStr">
        <is>
          <t>GASTOS MATERIAL OFICINA</t>
        </is>
      </c>
      <c r="J201" s="4" t="n">
        <v>-44.30380282668586</v>
      </c>
      <c r="K201" s="22" t="n">
        <v>45688</v>
      </c>
      <c r="L201" s="22" t="inlineStr">
        <is>
          <t>Admin</t>
        </is>
      </c>
      <c r="M201" s="4" t="n"/>
    </row>
    <row r="202">
      <c r="A202" s="26" t="n">
        <v>37</v>
      </c>
      <c r="B202" s="27" t="n">
        <v>45682</v>
      </c>
      <c r="C202" s="28" t="inlineStr">
        <is>
          <t>0013</t>
        </is>
      </c>
      <c r="D202" s="26" t="inlineStr">
        <is>
          <t>N/FRA. Nº 0013 ADSME AILABS S.L.</t>
        </is>
      </c>
      <c r="E202" s="29" t="n">
        <v>70500000000</v>
      </c>
      <c r="F202" s="30" t="n">
        <v>0</v>
      </c>
      <c r="G202" s="30" t="n">
        <v>2031.73</v>
      </c>
      <c r="H202" s="30" t="n">
        <v>0</v>
      </c>
      <c r="I202" s="30" t="inlineStr">
        <is>
          <t>PRESTACIONES DE SERVICIOS</t>
        </is>
      </c>
      <c r="J202" s="4" t="n">
        <v>2031.72609721089</v>
      </c>
      <c r="K202" s="22" t="n">
        <v>45688</v>
      </c>
      <c r="L202" s="22" t="inlineStr">
        <is>
          <t>CFO</t>
        </is>
      </c>
      <c r="M202" s="4" t="n"/>
    </row>
    <row r="203">
      <c r="A203" s="26" t="n">
        <v>120</v>
      </c>
      <c r="B203" s="27" t="n">
        <v>45688</v>
      </c>
      <c r="C203" s="28" t="inlineStr">
        <is>
          <t>NOMINA ENERO</t>
        </is>
      </c>
      <c r="D203" s="26" t="inlineStr">
        <is>
          <t>S/FRA. Nº NOMINA ENERO [PROVEEDOR]</t>
        </is>
      </c>
      <c r="E203" s="29" t="n">
        <v>755</v>
      </c>
      <c r="F203" s="30" t="n">
        <v>0</v>
      </c>
      <c r="G203" s="30" t="n">
        <v>946.24</v>
      </c>
      <c r="H203" s="30" t="n">
        <v>0</v>
      </c>
      <c r="I203" s="30" t="inlineStr">
        <is>
          <t>INGRESOS POR SERVICIOS AL PERSONAL</t>
        </is>
      </c>
      <c r="J203" s="4" t="n">
        <v>946.2376436978461</v>
      </c>
      <c r="K203" s="22" t="n">
        <v>45688</v>
      </c>
      <c r="L203" s="22" t="inlineStr">
        <is>
          <t>Admin</t>
        </is>
      </c>
      <c r="M203" s="4" t="n"/>
    </row>
    <row r="204">
      <c r="A204" s="26" t="n">
        <v>120</v>
      </c>
      <c r="B204" s="27" t="n">
        <v>45688</v>
      </c>
      <c r="C204" s="28" t="inlineStr">
        <is>
          <t>NOMINA ENERO</t>
        </is>
      </c>
      <c r="D204" s="26" t="inlineStr">
        <is>
          <t>S/FRA. Nº NOMINA ENERO [PROVEEDOR]</t>
        </is>
      </c>
      <c r="E204" s="29" t="n">
        <v>640</v>
      </c>
      <c r="F204" s="30" t="n">
        <v>14640.12</v>
      </c>
      <c r="G204" s="30" t="n">
        <v>0</v>
      </c>
      <c r="H204" s="30" t="n">
        <v>0</v>
      </c>
      <c r="I204" s="30" t="inlineStr">
        <is>
          <t>SUELDOS Y SALARIOS</t>
        </is>
      </c>
      <c r="J204" s="4" t="n">
        <v>-14640.1230011027</v>
      </c>
      <c r="K204" s="22" t="n">
        <v>45688</v>
      </c>
      <c r="L204" s="22" t="inlineStr">
        <is>
          <t>Admin</t>
        </is>
      </c>
      <c r="M204" s="4" t="n"/>
    </row>
    <row r="205">
      <c r="A205" s="26" t="n">
        <v>220</v>
      </c>
      <c r="B205" s="27" t="n">
        <v>45705</v>
      </c>
      <c r="C205" s="28" t="inlineStr">
        <is>
          <t>3844</t>
        </is>
      </c>
      <c r="D205" s="26" t="inlineStr">
        <is>
          <t>S/FRA. Nº 3844 LINKEDIN IRELAND UNLIMETED</t>
        </is>
      </c>
      <c r="E205" s="29" t="n">
        <v>62900000000</v>
      </c>
      <c r="F205" s="30" t="n">
        <v>76.55</v>
      </c>
      <c r="G205" s="30" t="n">
        <v>0</v>
      </c>
      <c r="H205" s="30" t="n">
        <v>0</v>
      </c>
      <c r="I205" s="30" t="inlineStr">
        <is>
          <t>OTROS SERVICIOS</t>
        </is>
      </c>
      <c r="J205" s="4" t="n">
        <v>-76.54868481460257</v>
      </c>
      <c r="K205" s="22" t="n">
        <v>45716</v>
      </c>
      <c r="L205" s="22" t="inlineStr">
        <is>
          <t>Sales</t>
        </is>
      </c>
      <c r="M205" s="4" t="n"/>
    </row>
    <row r="206">
      <c r="A206" s="26" t="n">
        <v>195</v>
      </c>
      <c r="B206" s="27" t="n">
        <v>45713</v>
      </c>
      <c r="C206" s="28" t="inlineStr">
        <is>
          <t>0049</t>
        </is>
      </c>
      <c r="D206" s="26" t="inlineStr">
        <is>
          <t>N/FRA. Nº 0049 POWEREDUCATION SL</t>
        </is>
      </c>
      <c r="E206" s="29" t="n">
        <v>70500000000</v>
      </c>
      <c r="F206" s="30" t="n">
        <v>0</v>
      </c>
      <c r="G206" s="30" t="n">
        <v>874.59</v>
      </c>
      <c r="H206" s="30" t="n">
        <v>0</v>
      </c>
      <c r="I206" s="30" t="inlineStr">
        <is>
          <t>PRESTACIONES DE SERVICIOS</t>
        </is>
      </c>
      <c r="J206" s="4" t="n">
        <v>874.5886282069808</v>
      </c>
      <c r="K206" s="22" t="n">
        <v>45716</v>
      </c>
      <c r="L206" s="22" t="inlineStr">
        <is>
          <t>REVISAR</t>
        </is>
      </c>
      <c r="M206" s="4" t="n"/>
    </row>
    <row r="207">
      <c r="A207" s="26" t="n">
        <v>213</v>
      </c>
      <c r="B207" s="27" t="n">
        <v>45714</v>
      </c>
      <c r="C207" s="28" t="n">
        <v/>
      </c>
      <c r="D207" s="26" t="inlineStr">
        <is>
          <t>COTIZACION SS ORGANISMOS DE LA SEGURIDAD SOCIAL, ACREEDORES</t>
        </is>
      </c>
      <c r="E207" s="29" t="n">
        <v>626</v>
      </c>
      <c r="F207" s="30" t="n">
        <v>0.02</v>
      </c>
      <c r="G207" s="30" t="n">
        <v>0</v>
      </c>
      <c r="H207" s="30" t="n">
        <v>0</v>
      </c>
      <c r="I207" s="30" t="inlineStr">
        <is>
          <t>SERVICIOS BANCARIOS Y SIMILARES</t>
        </is>
      </c>
      <c r="J207" s="4" t="n">
        <v>-0.02368436542384487</v>
      </c>
      <c r="K207" s="22" t="n">
        <v>45716</v>
      </c>
      <c r="L207" s="22" t="inlineStr">
        <is>
          <t>Admin</t>
        </is>
      </c>
      <c r="M207" s="4" t="n"/>
    </row>
    <row r="208">
      <c r="A208" s="26" t="n">
        <v>385</v>
      </c>
      <c r="B208" s="27" t="n">
        <v>45748</v>
      </c>
      <c r="C208" s="28" t="inlineStr">
        <is>
          <t>G0010</t>
        </is>
      </c>
      <c r="D208" s="26" t="inlineStr">
        <is>
          <t>N/FRA. Nº G0010 MEDICINAL GARDENS SL</t>
        </is>
      </c>
      <c r="E208" s="29" t="n">
        <v>70500000002</v>
      </c>
      <c r="F208" s="30" t="n">
        <v>0</v>
      </c>
      <c r="G208" s="30" t="n">
        <v>1084.92</v>
      </c>
      <c r="H208" s="30" t="n">
        <v>0</v>
      </c>
      <c r="I208" s="30" t="inlineStr">
        <is>
          <t>ASESORAMIENTO TRIBUTARIO</t>
        </is>
      </c>
      <c r="J208" s="4" t="n">
        <v>1084.923672455</v>
      </c>
      <c r="K208" s="22" t="n">
        <v>45777</v>
      </c>
      <c r="L208" s="22" t="inlineStr">
        <is>
          <t>CFO</t>
        </is>
      </c>
      <c r="M208" s="4" t="n"/>
    </row>
    <row r="209">
      <c r="A209" s="26" t="n">
        <v>384</v>
      </c>
      <c r="B209" s="27" t="n">
        <v>45748</v>
      </c>
      <c r="C209" s="28" t="inlineStr">
        <is>
          <t>G0009</t>
        </is>
      </c>
      <c r="D209" s="26" t="inlineStr">
        <is>
          <t>N/FRA. Nº G0009 FAFU REN</t>
        </is>
      </c>
      <c r="E209" s="29" t="n">
        <v>70500000002</v>
      </c>
      <c r="F209" s="30" t="n">
        <v>0</v>
      </c>
      <c r="G209" s="30" t="n">
        <v>90.13</v>
      </c>
      <c r="H209" s="30" t="n">
        <v>0</v>
      </c>
      <c r="I209" s="30" t="inlineStr">
        <is>
          <t>ASESORAMIENTO TRIBUTARIO</t>
        </is>
      </c>
      <c r="J209" s="4" t="n">
        <v>90.13346674095027</v>
      </c>
      <c r="K209" s="22" t="n">
        <v>45777</v>
      </c>
      <c r="L209" s="22" t="inlineStr">
        <is>
          <t>Gestoría</t>
        </is>
      </c>
      <c r="M209" s="4" t="n"/>
    </row>
    <row r="210">
      <c r="A210" s="26" t="n">
        <v>384</v>
      </c>
      <c r="B210" s="27" t="n">
        <v>45748</v>
      </c>
      <c r="C210" s="28" t="inlineStr">
        <is>
          <t>G0009</t>
        </is>
      </c>
      <c r="D210" s="26" t="inlineStr">
        <is>
          <t>N/FRA. Nº G0009 FAFU REN</t>
        </is>
      </c>
      <c r="E210" s="29" t="n">
        <v>70500000002</v>
      </c>
      <c r="F210" s="30" t="n">
        <v>0</v>
      </c>
      <c r="G210" s="30" t="n">
        <v>144.71</v>
      </c>
      <c r="H210" s="30" t="n">
        <v>0</v>
      </c>
      <c r="I210" s="30" t="inlineStr">
        <is>
          <t>ASESORAMIENTO TRIBUTARIO</t>
        </is>
      </c>
      <c r="J210" s="4" t="n">
        <v>144.7073162190352</v>
      </c>
      <c r="K210" s="22" t="n">
        <v>45777</v>
      </c>
      <c r="L210" s="22" t="inlineStr">
        <is>
          <t>Gestoría</t>
        </is>
      </c>
      <c r="M210" s="4" t="n"/>
    </row>
    <row r="211">
      <c r="A211" s="26" t="n">
        <v>383</v>
      </c>
      <c r="B211" s="27" t="n">
        <v>45748</v>
      </c>
      <c r="C211" s="28" t="inlineStr">
        <is>
          <t>G0008</t>
        </is>
      </c>
      <c r="D211" s="26" t="inlineStr">
        <is>
          <t>N/FRA. Nº G0008 VIDOQUI REAL ESTATE, S.L.</t>
        </is>
      </c>
      <c r="E211" s="29" t="n">
        <v>70500000002</v>
      </c>
      <c r="F211" s="30" t="n">
        <v>0</v>
      </c>
      <c r="G211" s="30" t="n">
        <v>104.2</v>
      </c>
      <c r="H211" s="30" t="n">
        <v>0</v>
      </c>
      <c r="I211" s="30" t="inlineStr">
        <is>
          <t>ASESORAMIENTO TRIBUTARIO</t>
        </is>
      </c>
      <c r="J211" s="4" t="n">
        <v>104.1977159407184</v>
      </c>
      <c r="K211" s="22" t="n">
        <v>45777</v>
      </c>
      <c r="L211" s="22" t="inlineStr">
        <is>
          <t>Gestoría</t>
        </is>
      </c>
      <c r="M211" s="4" t="n"/>
    </row>
    <row r="212">
      <c r="A212" s="26" t="n">
        <v>382</v>
      </c>
      <c r="B212" s="27" t="n">
        <v>45748</v>
      </c>
      <c r="C212" s="28" t="inlineStr">
        <is>
          <t>G0007</t>
        </is>
      </c>
      <c r="D212" s="26" t="inlineStr">
        <is>
          <t>N/FRA. Nº G0007 KAIKOO GAMING, S.L.</t>
        </is>
      </c>
      <c r="E212" s="29" t="n">
        <v>70500000002</v>
      </c>
      <c r="F212" s="30" t="n">
        <v>0</v>
      </c>
      <c r="G212" s="30" t="n">
        <v>57.78</v>
      </c>
      <c r="H212" s="30" t="n">
        <v>0</v>
      </c>
      <c r="I212" s="30" t="inlineStr">
        <is>
          <t>ASESORAMIENTO TRIBUTARIO</t>
        </is>
      </c>
      <c r="J212" s="4" t="n">
        <v>57.78147513418796</v>
      </c>
      <c r="K212" s="22" t="n">
        <v>45777</v>
      </c>
      <c r="L212" s="22" t="inlineStr">
        <is>
          <t>Gestoría</t>
        </is>
      </c>
      <c r="M212" s="4" t="n"/>
    </row>
    <row r="213">
      <c r="A213" s="26" t="n">
        <v>382</v>
      </c>
      <c r="B213" s="27" t="n">
        <v>45748</v>
      </c>
      <c r="C213" s="28" t="inlineStr">
        <is>
          <t>G0007</t>
        </is>
      </c>
      <c r="D213" s="26" t="inlineStr">
        <is>
          <t>N/FRA. Nº G0007 KAIKOO GAMING, S.L.</t>
        </is>
      </c>
      <c r="E213" s="29" t="n">
        <v>70500000002</v>
      </c>
      <c r="F213" s="30" t="n">
        <v>0</v>
      </c>
      <c r="G213" s="30" t="n">
        <v>766.33</v>
      </c>
      <c r="H213" s="30" t="n">
        <v>0</v>
      </c>
      <c r="I213" s="30" t="inlineStr">
        <is>
          <t>ASESORAMIENTO TRIBUTARIO</t>
        </is>
      </c>
      <c r="J213" s="4" t="n">
        <v>766.3272634338643</v>
      </c>
      <c r="K213" s="22" t="n">
        <v>45777</v>
      </c>
      <c r="L213" s="22" t="inlineStr">
        <is>
          <t>Gestoría</t>
        </is>
      </c>
      <c r="M213" s="4" t="n"/>
    </row>
    <row r="214">
      <c r="A214" s="26" t="n">
        <v>381</v>
      </c>
      <c r="B214" s="27" t="n">
        <v>45748</v>
      </c>
      <c r="C214" s="28" t="inlineStr">
        <is>
          <t>0073</t>
        </is>
      </c>
      <c r="D214" s="26" t="inlineStr">
        <is>
          <t>N/FRA. Nº 0073 INTELECTIUM FUNDING ACCELERATOR MADRID SL</t>
        </is>
      </c>
      <c r="E214" s="29" t="n">
        <v>70500000000</v>
      </c>
      <c r="F214" s="30" t="n">
        <v>0</v>
      </c>
      <c r="G214" s="30" t="n">
        <v>1193.98</v>
      </c>
      <c r="H214" s="30" t="n">
        <v>0</v>
      </c>
      <c r="I214" s="30" t="inlineStr">
        <is>
          <t>PRESTACIONES DE SERVICIOS</t>
        </is>
      </c>
      <c r="J214" s="4" t="n">
        <v>1193.977314341026</v>
      </c>
      <c r="K214" s="22" t="n">
        <v>45777</v>
      </c>
      <c r="L214" s="22" t="inlineStr">
        <is>
          <t>Intelectium</t>
        </is>
      </c>
      <c r="M214" s="4" t="n"/>
    </row>
    <row r="215">
      <c r="A215" s="26" t="n">
        <v>411</v>
      </c>
      <c r="B215" s="27" t="n">
        <v>45748</v>
      </c>
      <c r="C215" s="28" t="n">
        <v/>
      </c>
      <c r="D215" s="26" t="inlineStr">
        <is>
          <t>PRESTAMO 6082 CAIXABANK 9463</t>
        </is>
      </c>
      <c r="E215" s="29" t="n">
        <v>66230</v>
      </c>
      <c r="F215" s="30" t="n">
        <v>287.79</v>
      </c>
      <c r="G215" s="30" t="n">
        <v>0</v>
      </c>
      <c r="H215" s="30" t="n">
        <v>0</v>
      </c>
      <c r="I215" s="30" t="inlineStr">
        <is>
          <t>INTERESES DE DEUDAS CON ENTIDADES DE CREDITO</t>
        </is>
      </c>
      <c r="J215" s="4" t="n">
        <v>-287.7886668010756</v>
      </c>
      <c r="K215" s="22" t="n">
        <v>45777</v>
      </c>
      <c r="L215" s="22" t="inlineStr">
        <is>
          <t>REVISAR</t>
        </is>
      </c>
      <c r="M215" s="4" t="n"/>
    </row>
    <row r="216">
      <c r="A216" s="26" t="n">
        <v>386</v>
      </c>
      <c r="B216" s="27" t="n">
        <v>45748</v>
      </c>
      <c r="C216" s="28" t="inlineStr">
        <is>
          <t>G0011</t>
        </is>
      </c>
      <c r="D216" s="26" t="inlineStr">
        <is>
          <t>N/FRA. Nº G00 MEDICINAL GARDENS SL</t>
        </is>
      </c>
      <c r="E216" s="29" t="n">
        <v>70500000002</v>
      </c>
      <c r="F216" s="30" t="n">
        <v>0</v>
      </c>
      <c r="G216" s="30" t="n">
        <v>151.87</v>
      </c>
      <c r="H216" s="30" t="n">
        <v>0</v>
      </c>
      <c r="I216" s="30" t="inlineStr">
        <is>
          <t>ASESORAMIENTO TRIBUTARIO</t>
        </is>
      </c>
      <c r="J216" s="4" t="n">
        <v>151.8709153828699</v>
      </c>
      <c r="K216" s="22" t="n">
        <v>45777</v>
      </c>
      <c r="L216" s="22" t="inlineStr">
        <is>
          <t>CFO</t>
        </is>
      </c>
      <c r="M216" s="4" t="n"/>
    </row>
    <row r="217">
      <c r="A217" s="26" t="n">
        <v>418</v>
      </c>
      <c r="B217" s="27" t="n">
        <v>45748</v>
      </c>
      <c r="C217" s="28" t="n">
        <v/>
      </c>
      <c r="D217" s="26" t="inlineStr">
        <is>
          <t>PACK MULTISEGUROS CAIXABANK 9463</t>
        </is>
      </c>
      <c r="E217" s="29" t="n">
        <v>625</v>
      </c>
      <c r="F217" s="30" t="n">
        <v>215.27</v>
      </c>
      <c r="G217" s="30" t="n">
        <v>0</v>
      </c>
      <c r="H217" s="30" t="n">
        <v>0</v>
      </c>
      <c r="I217" s="30" t="inlineStr">
        <is>
          <t>PRIMAS DE SEGUROS</t>
        </is>
      </c>
      <c r="J217" s="4" t="n">
        <v>-215.2719566523812</v>
      </c>
      <c r="K217" s="22" t="n">
        <v>45777</v>
      </c>
      <c r="L217" s="22" t="inlineStr">
        <is>
          <t>Admin</t>
        </is>
      </c>
      <c r="M217" s="4" t="n"/>
    </row>
    <row r="218">
      <c r="A218" s="26" t="n">
        <v>389</v>
      </c>
      <c r="B218" s="27" t="n">
        <v>45748</v>
      </c>
      <c r="C218" s="28" t="inlineStr">
        <is>
          <t>0460</t>
        </is>
      </c>
      <c r="D218" s="26" t="inlineStr">
        <is>
          <t>SUPLIDOS</t>
        </is>
      </c>
      <c r="E218" s="29" t="n">
        <v>62900000000</v>
      </c>
      <c r="F218" s="30" t="n">
        <v>296.42</v>
      </c>
      <c r="G218" s="30" t="n">
        <v>0</v>
      </c>
      <c r="H218" s="30" t="n">
        <v>0</v>
      </c>
      <c r="I218" s="30" t="inlineStr">
        <is>
          <t>OTROS SERVICIOS</t>
        </is>
      </c>
      <c r="J218" s="4" t="n">
        <v>-296.415025246237</v>
      </c>
      <c r="K218" s="22" t="n">
        <v>45777</v>
      </c>
      <c r="L218" s="22" t="inlineStr">
        <is>
          <t>REVISAR</t>
        </is>
      </c>
      <c r="M218" s="4" t="n"/>
    </row>
    <row r="219">
      <c r="A219" s="26" t="n">
        <v>413</v>
      </c>
      <c r="B219" s="27" t="n">
        <v>45748</v>
      </c>
      <c r="C219" s="28" t="n">
        <v/>
      </c>
      <c r="D219" s="26" t="inlineStr">
        <is>
          <t>COMISIONES CAIXABANK 9463</t>
        </is>
      </c>
      <c r="E219" s="29" t="n">
        <v>626</v>
      </c>
      <c r="F219" s="30" t="n">
        <v>1.36</v>
      </c>
      <c r="G219" s="30" t="n">
        <v>0</v>
      </c>
      <c r="H219" s="30" t="n">
        <v>0</v>
      </c>
      <c r="I219" s="30" t="inlineStr">
        <is>
          <t>SERVICIOS BANCARIOS Y SIMILARES</t>
        </is>
      </c>
      <c r="J219" s="4" t="n">
        <v>-1.362151710620448</v>
      </c>
      <c r="K219" s="22" t="n">
        <v>45777</v>
      </c>
      <c r="L219" s="22" t="inlineStr">
        <is>
          <t>Admin</t>
        </is>
      </c>
      <c r="M219" s="4" t="n"/>
    </row>
    <row r="220">
      <c r="A220" s="26" t="n">
        <v>392</v>
      </c>
      <c r="B220" s="27" t="n">
        <v>45748</v>
      </c>
      <c r="C220" s="28" t="inlineStr">
        <is>
          <t>0061</t>
        </is>
      </c>
      <c r="D220" s="26" t="inlineStr">
        <is>
          <t>S/FRA. Nº 0061 LA FABRICA COWORKING SL</t>
        </is>
      </c>
      <c r="E220" s="29" t="n">
        <v>62900000000</v>
      </c>
      <c r="F220" s="30" t="n">
        <v>346.3</v>
      </c>
      <c r="G220" s="30" t="n">
        <v>0</v>
      </c>
      <c r="H220" s="30" t="n">
        <v>0</v>
      </c>
      <c r="I220" s="30" t="inlineStr">
        <is>
          <t>OTROS SERVICIOS</t>
        </is>
      </c>
      <c r="J220" s="4" t="n">
        <v>-346.2966319944464</v>
      </c>
      <c r="K220" s="22" t="n">
        <v>45777</v>
      </c>
      <c r="L220" s="22" t="inlineStr">
        <is>
          <t>Admin</t>
        </is>
      </c>
      <c r="M220" s="4" t="n"/>
    </row>
    <row r="221">
      <c r="A221" s="26" t="n">
        <v>419</v>
      </c>
      <c r="B221" s="27" t="n">
        <v>45748</v>
      </c>
      <c r="C221" s="28" t="n">
        <v/>
      </c>
      <c r="D221" s="26" t="inlineStr">
        <is>
          <t>MANTENIMIENTO CAIXABANK 9463</t>
        </is>
      </c>
      <c r="E221" s="29" t="n">
        <v>626</v>
      </c>
      <c r="F221" s="30" t="n">
        <v>2.13</v>
      </c>
      <c r="G221" s="30" t="n">
        <v>0</v>
      </c>
      <c r="H221" s="30" t="n">
        <v>0</v>
      </c>
      <c r="I221" s="30" t="inlineStr">
        <is>
          <t>SERVICIOS BANCARIOS Y SIMILARES</t>
        </is>
      </c>
      <c r="J221" s="4" t="n">
        <v>-2.128506793427086</v>
      </c>
      <c r="K221" s="22" t="n">
        <v>45777</v>
      </c>
      <c r="L221" s="22" t="inlineStr">
        <is>
          <t>REVISAR</t>
        </is>
      </c>
      <c r="M221" s="4" t="n"/>
    </row>
    <row r="222">
      <c r="A222" s="26" t="n">
        <v>420</v>
      </c>
      <c r="B222" s="27" t="n">
        <v>45748</v>
      </c>
      <c r="C222" s="28" t="n">
        <v/>
      </c>
      <c r="D222" s="26" t="inlineStr">
        <is>
          <t>ADMINISTRACIÓN DEP. CAIXABANK 9463</t>
        </is>
      </c>
      <c r="E222" s="29" t="n">
        <v>626</v>
      </c>
      <c r="F222" s="30" t="n">
        <v>2.49</v>
      </c>
      <c r="G222" s="30" t="n">
        <v>0</v>
      </c>
      <c r="H222" s="30" t="n">
        <v>0</v>
      </c>
      <c r="I222" s="30" t="inlineStr">
        <is>
          <t>SERVICIOS BANCARIOS Y SIMILARES</t>
        </is>
      </c>
      <c r="J222" s="4" t="n">
        <v>-2.487986507727882</v>
      </c>
      <c r="K222" s="22" t="n">
        <v>45777</v>
      </c>
      <c r="L222" s="22" t="inlineStr">
        <is>
          <t>REVISAR</t>
        </is>
      </c>
      <c r="M222" s="4" t="n"/>
    </row>
    <row r="223">
      <c r="A223" s="26" t="n">
        <v>387</v>
      </c>
      <c r="B223" s="27" t="n">
        <v>45748</v>
      </c>
      <c r="C223" s="28" t="inlineStr">
        <is>
          <t>0017</t>
        </is>
      </c>
      <c r="D223" s="26" t="inlineStr">
        <is>
          <t>S/FRA. Nº 0017 CONSTRUCCIONES NIKO SUR SLU</t>
        </is>
      </c>
      <c r="E223" s="29" t="n">
        <v>62900000000</v>
      </c>
      <c r="F223" s="30" t="n">
        <v>1221.25</v>
      </c>
      <c r="G223" s="30" t="n">
        <v>0</v>
      </c>
      <c r="H223" s="30" t="n">
        <v>0</v>
      </c>
      <c r="I223" s="30" t="inlineStr">
        <is>
          <t>OTROS SERVICIOS</t>
        </is>
      </c>
      <c r="J223" s="4" t="n">
        <v>-1221.245754981261</v>
      </c>
      <c r="K223" s="22" t="n">
        <v>45777</v>
      </c>
      <c r="L223" s="22" t="inlineStr">
        <is>
          <t>REVISAR</t>
        </is>
      </c>
      <c r="M223" s="4" t="n"/>
    </row>
    <row r="224">
      <c r="A224" s="26" t="n">
        <v>388</v>
      </c>
      <c r="B224" s="27" t="n">
        <v>45748</v>
      </c>
      <c r="C224" s="28" t="inlineStr">
        <is>
          <t>0459</t>
        </is>
      </c>
      <c r="D224" s="26" t="inlineStr">
        <is>
          <t>S/FRA. Nº 0459 BERENGUELA &amp; TAXES, S.L.</t>
        </is>
      </c>
      <c r="E224" s="29" t="n">
        <v>62900000000</v>
      </c>
      <c r="F224" s="30" t="n">
        <v>609.0599999999999</v>
      </c>
      <c r="G224" s="30" t="n">
        <v>0</v>
      </c>
      <c r="H224" s="30" t="n">
        <v>0</v>
      </c>
      <c r="I224" s="30" t="inlineStr">
        <is>
          <t>OTROS SERVICIOS</t>
        </is>
      </c>
      <c r="J224" s="4" t="n">
        <v>-609.0635853108863</v>
      </c>
      <c r="K224" s="22" t="n">
        <v>45777</v>
      </c>
      <c r="L224" s="22" t="inlineStr">
        <is>
          <t>Admin</t>
        </is>
      </c>
      <c r="M224" s="4" t="n"/>
    </row>
    <row r="225">
      <c r="A225" s="26" t="n">
        <v>391</v>
      </c>
      <c r="B225" s="27" t="n">
        <v>45748</v>
      </c>
      <c r="C225" s="28" t="inlineStr">
        <is>
          <t>0947</t>
        </is>
      </c>
      <c r="D225" s="26" t="inlineStr">
        <is>
          <t>S/FRA. Nº 0947 MAXI MOBILITY SPAIN SL</t>
        </is>
      </c>
      <c r="E225" s="29" t="n">
        <v>62900000000</v>
      </c>
      <c r="F225" s="30" t="n">
        <v>1.19</v>
      </c>
      <c r="G225" s="30" t="n">
        <v>0</v>
      </c>
      <c r="H225" s="30" t="n">
        <v>0</v>
      </c>
      <c r="I225" s="30" t="inlineStr">
        <is>
          <t>OTROS SERVICIOS</t>
        </is>
      </c>
      <c r="J225" s="4" t="n">
        <v>-1.191504642313838</v>
      </c>
      <c r="K225" s="22" t="n">
        <v>45777</v>
      </c>
      <c r="L225" s="22" t="inlineStr">
        <is>
          <t>Other</t>
        </is>
      </c>
      <c r="M225" s="4" t="n"/>
    </row>
    <row r="226">
      <c r="A226" s="26" t="n">
        <v>390</v>
      </c>
      <c r="B226" s="27" t="n">
        <v>45748</v>
      </c>
      <c r="C226" s="28" t="inlineStr">
        <is>
          <t>7922</t>
        </is>
      </c>
      <c r="D226" s="26" t="inlineStr">
        <is>
          <t>S/FRA. Nº 7922 MAXI MOBILITY SPAIN SL</t>
        </is>
      </c>
      <c r="E226" s="29" t="n">
        <v>62900000000</v>
      </c>
      <c r="F226" s="30" t="n">
        <v>2.6</v>
      </c>
      <c r="G226" s="30" t="n">
        <v>0</v>
      </c>
      <c r="H226" s="30" t="n">
        <v>0</v>
      </c>
      <c r="I226" s="30" t="inlineStr">
        <is>
          <t>OTROS SERVICIOS</t>
        </is>
      </c>
      <c r="J226" s="4" t="n">
        <v>-2.602224901359608</v>
      </c>
      <c r="K226" s="22" t="n">
        <v>45777</v>
      </c>
      <c r="L226" s="22" t="inlineStr">
        <is>
          <t>Other</t>
        </is>
      </c>
      <c r="M226" s="4" t="n"/>
    </row>
    <row r="227">
      <c r="A227" s="26" t="n">
        <v>389</v>
      </c>
      <c r="B227" s="27" t="n">
        <v>45748</v>
      </c>
      <c r="C227" s="28" t="inlineStr">
        <is>
          <t>0460</t>
        </is>
      </c>
      <c r="D227" s="26" t="inlineStr">
        <is>
          <t>S/FRA. Nº 0460 BERENGUELA &amp; TAXES, S.L.</t>
        </is>
      </c>
      <c r="E227" s="29" t="n">
        <v>62900000000</v>
      </c>
      <c r="F227" s="30" t="n">
        <v>2375.18</v>
      </c>
      <c r="G227" s="30" t="n">
        <v>0</v>
      </c>
      <c r="H227" s="30" t="n">
        <v>0</v>
      </c>
      <c r="I227" s="30" t="inlineStr">
        <is>
          <t>OTROS SERVICIOS</t>
        </is>
      </c>
      <c r="J227" s="4" t="n">
        <v>-2375.183946952152</v>
      </c>
      <c r="K227" s="22" t="n">
        <v>45777</v>
      </c>
      <c r="L227" s="22" t="inlineStr">
        <is>
          <t>Admin</t>
        </is>
      </c>
      <c r="M227" s="4" t="n"/>
    </row>
    <row r="228">
      <c r="A228" s="26" t="n">
        <v>388</v>
      </c>
      <c r="B228" s="27" t="n">
        <v>45748</v>
      </c>
      <c r="C228" s="28" t="inlineStr">
        <is>
          <t>0459</t>
        </is>
      </c>
      <c r="D228" s="26" t="inlineStr">
        <is>
          <t>SUPLIDOS</t>
        </is>
      </c>
      <c r="E228" s="29" t="n">
        <v>62900000000</v>
      </c>
      <c r="F228" s="30" t="n">
        <v>134.65</v>
      </c>
      <c r="G228" s="30" t="n">
        <v>0</v>
      </c>
      <c r="H228" s="30" t="n">
        <v>0</v>
      </c>
      <c r="I228" s="30" t="inlineStr">
        <is>
          <t>OTROS SERVICIOS</t>
        </is>
      </c>
      <c r="J228" s="4" t="n">
        <v>-134.649474027307</v>
      </c>
      <c r="K228" s="22" t="n">
        <v>45777</v>
      </c>
      <c r="L228" s="22" t="inlineStr">
        <is>
          <t>REVISAR</t>
        </is>
      </c>
      <c r="M228" s="4" t="n"/>
    </row>
    <row r="229">
      <c r="A229" s="26" t="n">
        <v>424</v>
      </c>
      <c r="B229" s="27" t="n">
        <v>45752</v>
      </c>
      <c r="C229" s="28" t="n">
        <v/>
      </c>
      <c r="D229" s="26" t="inlineStr">
        <is>
          <t>DEV. MANTENIMIENTO CAIXABANK 9463</t>
        </is>
      </c>
      <c r="E229" s="29" t="n">
        <v>626</v>
      </c>
      <c r="F229" s="30" t="n">
        <v>0</v>
      </c>
      <c r="G229" s="30" t="n">
        <v>9.82</v>
      </c>
      <c r="H229" s="30" t="n">
        <v>0</v>
      </c>
      <c r="I229" s="30" t="inlineStr">
        <is>
          <t>SERVICIOS BANCARIOS Y SIMILARES</t>
        </is>
      </c>
      <c r="J229" s="4" t="n">
        <v>9.817736047013719</v>
      </c>
      <c r="K229" s="22" t="n">
        <v>45777</v>
      </c>
      <c r="L229" s="22" t="inlineStr">
        <is>
          <t>REVISAR</t>
        </is>
      </c>
      <c r="M229" s="4" t="n"/>
    </row>
    <row r="230">
      <c r="A230" s="26" t="n">
        <v>425</v>
      </c>
      <c r="B230" s="27" t="n">
        <v>45752</v>
      </c>
      <c r="C230" s="28" t="n">
        <v/>
      </c>
      <c r="D230" s="26" t="inlineStr">
        <is>
          <t>DEV. ADMINISTRACIÓN DEP. CAIXABANK 9463</t>
        </is>
      </c>
      <c r="E230" s="29" t="n">
        <v>626</v>
      </c>
      <c r="F230" s="30" t="n">
        <v>0</v>
      </c>
      <c r="G230" s="30" t="n">
        <v>20.28</v>
      </c>
      <c r="H230" s="30" t="n">
        <v>0</v>
      </c>
      <c r="I230" s="30" t="inlineStr">
        <is>
          <t>SERVICIOS BANCARIOS Y SIMILARES</t>
        </is>
      </c>
      <c r="J230" s="4" t="n">
        <v>20.28323472396494</v>
      </c>
      <c r="K230" s="22" t="n">
        <v>45777</v>
      </c>
      <c r="L230" s="22" t="inlineStr">
        <is>
          <t>REVISAR</t>
        </is>
      </c>
      <c r="M230" s="4" t="n"/>
    </row>
    <row r="231">
      <c r="A231" s="26" t="n">
        <v>393</v>
      </c>
      <c r="B231" s="27" t="n">
        <v>45752</v>
      </c>
      <c r="C231" s="28" t="inlineStr">
        <is>
          <t>0019</t>
        </is>
      </c>
      <c r="D231" s="26" t="inlineStr">
        <is>
          <t>S/FRA. Nº 0019 CONSTRUCCIONES NIKO SUR SLU</t>
        </is>
      </c>
      <c r="E231" s="29" t="n">
        <v>62900000000</v>
      </c>
      <c r="F231" s="30" t="n">
        <v>654.0599999999999</v>
      </c>
      <c r="G231" s="30" t="n">
        <v>0</v>
      </c>
      <c r="H231" s="30" t="n">
        <v>0</v>
      </c>
      <c r="I231" s="30" t="inlineStr">
        <is>
          <t>OTROS SERVICIOS</t>
        </is>
      </c>
      <c r="J231" s="4" t="n">
        <v>-654.0620719485421</v>
      </c>
      <c r="K231" s="22" t="n">
        <v>45777</v>
      </c>
      <c r="L231" s="22" t="inlineStr">
        <is>
          <t>REVISAR</t>
        </is>
      </c>
      <c r="M231" s="4" t="n"/>
    </row>
    <row r="232">
      <c r="A232" s="26" t="n">
        <v>398</v>
      </c>
      <c r="B232" s="27" t="n">
        <v>45754</v>
      </c>
      <c r="C232" s="28" t="inlineStr">
        <is>
          <t>0021</t>
        </is>
      </c>
      <c r="D232" s="26" t="inlineStr">
        <is>
          <t>S/FRA. Nº 0021 CONSTRUCCIONES NIKO SUR SLU</t>
        </is>
      </c>
      <c r="E232" s="29" t="n">
        <v>62900000000</v>
      </c>
      <c r="F232" s="30" t="n">
        <v>471.02</v>
      </c>
      <c r="G232" s="30" t="n">
        <v>0</v>
      </c>
      <c r="H232" s="30" t="n">
        <v>0</v>
      </c>
      <c r="I232" s="30" t="inlineStr">
        <is>
          <t>OTROS SERVICIOS</t>
        </is>
      </c>
      <c r="J232" s="4" t="n">
        <v>-471.0182529145546</v>
      </c>
      <c r="K232" s="22" t="n">
        <v>45777</v>
      </c>
      <c r="L232" s="22" t="inlineStr">
        <is>
          <t>REVISAR</t>
        </is>
      </c>
      <c r="M232" s="4" t="n"/>
    </row>
    <row r="233">
      <c r="A233" s="26" t="n">
        <v>399</v>
      </c>
      <c r="B233" s="27" t="n">
        <v>45759</v>
      </c>
      <c r="C233" s="28" t="inlineStr">
        <is>
          <t>1445</t>
        </is>
      </c>
      <c r="D233" s="26" t="inlineStr">
        <is>
          <t>S/FRA. Nº 1445 FERSANZ FERRETERIA</t>
        </is>
      </c>
      <c r="E233" s="29" t="n">
        <v>62900000000</v>
      </c>
      <c r="F233" s="30" t="n">
        <v>85.77</v>
      </c>
      <c r="G233" s="30" t="n">
        <v>0</v>
      </c>
      <c r="H233" s="30" t="n">
        <v>0</v>
      </c>
      <c r="I233" s="30" t="inlineStr">
        <is>
          <t>OTROS SERVICIOS</t>
        </is>
      </c>
      <c r="J233" s="4" t="n">
        <v>-85.77172712444603</v>
      </c>
      <c r="K233" s="22" t="n">
        <v>45777</v>
      </c>
      <c r="L233" s="22" t="inlineStr">
        <is>
          <t>REVISAR</t>
        </is>
      </c>
      <c r="M233" s="4" t="n"/>
    </row>
    <row r="234">
      <c r="A234" s="26" t="n">
        <v>400</v>
      </c>
      <c r="B234" s="27" t="n">
        <v>45761</v>
      </c>
      <c r="C234" s="28" t="inlineStr">
        <is>
          <t>0020</t>
        </is>
      </c>
      <c r="D234" s="26" t="inlineStr">
        <is>
          <t>S/FRA. Nº 0020 ARQ Y DEC ARTKITETC</t>
        </is>
      </c>
      <c r="E234" s="29" t="n">
        <v>62900000000</v>
      </c>
      <c r="F234" s="30" t="n">
        <v>1529.2</v>
      </c>
      <c r="G234" s="30" t="n">
        <v>0</v>
      </c>
      <c r="H234" s="30" t="n">
        <v>0</v>
      </c>
      <c r="I234" s="30" t="inlineStr">
        <is>
          <t>OTROS SERVICIOS</t>
        </is>
      </c>
      <c r="J234" s="4" t="n">
        <v>-1529.197419397839</v>
      </c>
      <c r="K234" s="22" t="n">
        <v>45777</v>
      </c>
      <c r="L234" s="22" t="inlineStr">
        <is>
          <t>REVISAR</t>
        </is>
      </c>
      <c r="M234" s="4" t="n"/>
    </row>
    <row r="235">
      <c r="A235" s="26" t="n">
        <v>401</v>
      </c>
      <c r="B235" s="27" t="n">
        <v>45762</v>
      </c>
      <c r="C235" s="28" t="inlineStr">
        <is>
          <t>0587</t>
        </is>
      </c>
      <c r="D235" s="26" t="inlineStr">
        <is>
          <t>S/FRA. Nº 0587 ALCAMPO SA</t>
        </is>
      </c>
      <c r="E235" s="29" t="n">
        <v>62900000000</v>
      </c>
      <c r="F235" s="30" t="n">
        <v>89.23</v>
      </c>
      <c r="G235" s="30" t="n">
        <v>0</v>
      </c>
      <c r="H235" s="30" t="n">
        <v>0</v>
      </c>
      <c r="I235" s="30" t="inlineStr">
        <is>
          <t>OTROS SERVICIOS</t>
        </is>
      </c>
      <c r="J235" s="4" t="n">
        <v>-89.2269161260306</v>
      </c>
      <c r="K235" s="22" t="n">
        <v>45777</v>
      </c>
      <c r="L235" s="22" t="inlineStr">
        <is>
          <t>Admin</t>
        </is>
      </c>
      <c r="M235" s="4" t="n"/>
    </row>
    <row r="236">
      <c r="A236" s="26" t="n">
        <v>401</v>
      </c>
      <c r="B236" s="27" t="n">
        <v>45762</v>
      </c>
      <c r="C236" s="28" t="inlineStr">
        <is>
          <t>0587</t>
        </is>
      </c>
      <c r="D236" s="26" t="inlineStr">
        <is>
          <t>S/FRA. Nº 0587 ALCAMPO SA</t>
        </is>
      </c>
      <c r="E236" s="29" t="n">
        <v>62900000000</v>
      </c>
      <c r="F236" s="30" t="n">
        <v>13.54</v>
      </c>
      <c r="G236" s="30" t="n">
        <v>0</v>
      </c>
      <c r="H236" s="30" t="n">
        <v>0</v>
      </c>
      <c r="I236" s="30" t="inlineStr">
        <is>
          <t>OTROS SERVICIOS</t>
        </is>
      </c>
      <c r="J236" s="4" t="n">
        <v>-13.53980686773716</v>
      </c>
      <c r="K236" s="22" t="n">
        <v>45777</v>
      </c>
      <c r="L236" s="22" t="inlineStr">
        <is>
          <t>Admin</t>
        </is>
      </c>
      <c r="M236" s="4" t="n"/>
    </row>
    <row r="237">
      <c r="A237" s="26" t="n">
        <v>405</v>
      </c>
      <c r="B237" s="27" t="n">
        <v>45766</v>
      </c>
      <c r="C237" s="28" t="inlineStr">
        <is>
          <t>1460</t>
        </is>
      </c>
      <c r="D237" s="26" t="inlineStr">
        <is>
          <t>S/FRA. Nº 1460 FERSANZ FERRETERIA</t>
        </is>
      </c>
      <c r="E237" s="29" t="n">
        <v>62900000000</v>
      </c>
      <c r="F237" s="30" t="n">
        <v>16.85</v>
      </c>
      <c r="G237" s="30" t="n">
        <v>0</v>
      </c>
      <c r="H237" s="30" t="n">
        <v>0</v>
      </c>
      <c r="I237" s="30" t="inlineStr">
        <is>
          <t>OTROS SERVICIOS</t>
        </is>
      </c>
      <c r="J237" s="4" t="n">
        <v>-16.84969516189077</v>
      </c>
      <c r="K237" s="22" t="n">
        <v>45777</v>
      </c>
      <c r="L237" s="22" t="inlineStr">
        <is>
          <t>REVISAR</t>
        </is>
      </c>
      <c r="M237" s="4" t="n"/>
    </row>
    <row r="238">
      <c r="A238" s="26" t="n">
        <v>404</v>
      </c>
      <c r="B238" s="27" t="n">
        <v>45766</v>
      </c>
      <c r="C238" s="28" t="inlineStr">
        <is>
          <t>6734</t>
        </is>
      </c>
      <c r="D238" s="26" t="inlineStr">
        <is>
          <t>S/FRA. Nº 6734 HUBSPOT</t>
        </is>
      </c>
      <c r="E238" s="29" t="n">
        <v>62900000000</v>
      </c>
      <c r="F238" s="30" t="n">
        <v>0.84</v>
      </c>
      <c r="G238" s="30" t="n">
        <v>0</v>
      </c>
      <c r="H238" s="30" t="n">
        <v>0</v>
      </c>
      <c r="I238" s="30" t="inlineStr">
        <is>
          <t>OTROS SERVICIOS</t>
        </is>
      </c>
      <c r="J238" s="4" t="n">
        <v>-0.8388257276523832</v>
      </c>
      <c r="K238" s="22" t="n">
        <v>45777</v>
      </c>
      <c r="L238" s="22" t="inlineStr">
        <is>
          <t>REVISAR</t>
        </is>
      </c>
      <c r="M238" s="4" t="n"/>
    </row>
    <row r="239">
      <c r="A239" s="26" t="n">
        <v>403</v>
      </c>
      <c r="B239" s="27" t="n">
        <v>45766</v>
      </c>
      <c r="C239" s="28" t="inlineStr">
        <is>
          <t>0025</t>
        </is>
      </c>
      <c r="D239" s="26" t="inlineStr">
        <is>
          <t>S/FRA. Nº 0025 CONSTRUCCIONES NIKO SUR SLU</t>
        </is>
      </c>
      <c r="E239" s="29" t="n">
        <v>62900000000</v>
      </c>
      <c r="F239" s="30" t="n">
        <v>787.63</v>
      </c>
      <c r="G239" s="30" t="n">
        <v>0</v>
      </c>
      <c r="H239" s="30" t="n">
        <v>0</v>
      </c>
      <c r="I239" s="30" t="inlineStr">
        <is>
          <t>OTROS SERVICIOS</t>
        </is>
      </c>
      <c r="J239" s="4" t="n">
        <v>-787.6260395267531</v>
      </c>
      <c r="K239" s="22" t="n">
        <v>45777</v>
      </c>
      <c r="L239" s="22" t="inlineStr">
        <is>
          <t>REVISAR</t>
        </is>
      </c>
      <c r="M239" s="4" t="n"/>
    </row>
    <row r="240">
      <c r="A240" s="26" t="n">
        <v>407</v>
      </c>
      <c r="B240" s="27" t="n">
        <v>45767</v>
      </c>
      <c r="C240" s="28" t="inlineStr">
        <is>
          <t>0506</t>
        </is>
      </c>
      <c r="D240" s="26" t="inlineStr">
        <is>
          <t>S/FRA. Nº 0506 SEGURIDAD LASSER SA</t>
        </is>
      </c>
      <c r="E240" s="29" t="n">
        <v>62900000000</v>
      </c>
      <c r="F240" s="30" t="n">
        <v>108.65</v>
      </c>
      <c r="G240" s="30" t="n">
        <v>0</v>
      </c>
      <c r="H240" s="30" t="n">
        <v>0</v>
      </c>
      <c r="I240" s="30" t="inlineStr">
        <is>
          <t>OTROS SERVICIOS</t>
        </is>
      </c>
      <c r="J240" s="4" t="n">
        <v>-108.647582564486</v>
      </c>
      <c r="K240" s="22" t="n">
        <v>45777</v>
      </c>
      <c r="L240" s="22" t="inlineStr">
        <is>
          <t>REVISAR</t>
        </is>
      </c>
      <c r="M240" s="4" t="n"/>
    </row>
    <row r="241">
      <c r="A241" s="15" t="inlineStr">
        <is>
          <t>END</t>
        </is>
      </c>
      <c r="B241" s="16" t="inlineStr">
        <is>
          <t>END</t>
        </is>
      </c>
      <c r="C241" s="17" t="inlineStr">
        <is>
          <t>END</t>
        </is>
      </c>
      <c r="D241" s="15" t="inlineStr">
        <is>
          <t>END</t>
        </is>
      </c>
      <c r="E241" s="18" t="inlineStr">
        <is>
          <t>END</t>
        </is>
      </c>
      <c r="F241" s="19" t="inlineStr">
        <is>
          <t>END</t>
        </is>
      </c>
      <c r="G241" s="19" t="inlineStr">
        <is>
          <t>END</t>
        </is>
      </c>
      <c r="H241" s="19" t="inlineStr">
        <is>
          <t>END</t>
        </is>
      </c>
      <c r="I241" s="19" t="inlineStr">
        <is>
          <t>END</t>
        </is>
      </c>
      <c r="J241" s="23" t="inlineStr">
        <is>
          <t>END</t>
        </is>
      </c>
      <c r="K241" s="24" t="inlineStr">
        <is>
          <t>END</t>
        </is>
      </c>
      <c r="L241" s="24" t="inlineStr">
        <is>
          <t>END</t>
        </is>
      </c>
      <c r="M241" s="23" t="inlineStr">
        <is>
          <t>END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Jaime Medina</dc:creator>
  <dcterms:created xsi:type="dcterms:W3CDTF">2019-04-17T09:37:05Z</dcterms:created>
  <dcterms:modified xsi:type="dcterms:W3CDTF">2026-02-15T17:21:37Z</dcterms:modified>
  <cp:lastModifiedBy>Alberto Cañizares</cp:lastModifiedBy>
  <cp:lastPrinted>2020-04-06T11:16:45Z</cp:lastPrinted>
</cp:coreProperties>
</file>
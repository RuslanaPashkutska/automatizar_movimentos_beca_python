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Becario - prueba\ConTipoGasto\"/>
    </mc:Choice>
  </mc:AlternateContent>
  <xr:revisionPtr revIDLastSave="0" documentId="8_{F2DB8F8F-CE00-4CD6-8951-14AB80F28819}" xr6:coauthVersionLast="47" xr6:coauthVersionMax="47" xr10:uidLastSave="{00000000-0000-0000-0000-000000000000}"/>
  <bookViews>
    <workbookView xWindow="-108" yWindow="-108" windowWidth="23256" windowHeight="12456" tabRatio="934" xr2:uid="{CDD4E43E-8379-4547-91C2-E5B57ACB9E1E}"/>
  </bookViews>
  <sheets>
    <sheet name="InputPL" sheetId="9" r:id="rId1"/>
  </sheets>
  <definedNames>
    <definedName name="_xlnm._FilterDatabase" localSheetId="0" hidden="1">InputPL!$A$1:$M$201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43780.7871180556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USD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91" i="9" l="1"/>
  <c r="J191" i="9"/>
  <c r="K123" i="9"/>
  <c r="J123" i="9"/>
  <c r="K61" i="9" l="1"/>
  <c r="K147" i="9"/>
  <c r="J147" i="9"/>
  <c r="K146" i="9"/>
  <c r="J146" i="9"/>
  <c r="K145" i="9"/>
  <c r="J145" i="9"/>
  <c r="K80" i="9"/>
  <c r="J80" i="9"/>
  <c r="K79" i="9"/>
  <c r="J79" i="9"/>
  <c r="K78" i="9"/>
  <c r="J78" i="9"/>
  <c r="K77" i="9"/>
  <c r="J77" i="9"/>
  <c r="K76" i="9"/>
  <c r="J76" i="9"/>
  <c r="K150" i="9"/>
  <c r="J150" i="9"/>
  <c r="K81" i="9"/>
  <c r="J81" i="9"/>
  <c r="K41" i="9"/>
  <c r="J41" i="9"/>
  <c r="K171" i="9"/>
  <c r="J171" i="9"/>
  <c r="K170" i="9"/>
  <c r="J170" i="9"/>
  <c r="K169" i="9"/>
  <c r="J169" i="9"/>
  <c r="K168" i="9"/>
  <c r="J168" i="9"/>
  <c r="K167" i="9"/>
  <c r="J167" i="9"/>
  <c r="K166" i="9"/>
  <c r="J166" i="9"/>
  <c r="K165" i="9"/>
  <c r="J165" i="9"/>
  <c r="K164" i="9"/>
  <c r="J164" i="9"/>
  <c r="K163" i="9"/>
  <c r="J163" i="9"/>
  <c r="K162" i="9"/>
  <c r="J162" i="9"/>
  <c r="K161" i="9"/>
  <c r="J161" i="9"/>
  <c r="K160" i="9"/>
  <c r="J160" i="9"/>
  <c r="K159" i="9"/>
  <c r="J159" i="9"/>
  <c r="K158" i="9"/>
  <c r="J158" i="9"/>
  <c r="K157" i="9"/>
  <c r="J157" i="9"/>
  <c r="K156" i="9"/>
  <c r="J156" i="9"/>
  <c r="K155" i="9"/>
  <c r="J155" i="9"/>
  <c r="K154" i="9"/>
  <c r="J154" i="9"/>
  <c r="K153" i="9"/>
  <c r="J153" i="9"/>
  <c r="K152" i="9"/>
  <c r="J152" i="9"/>
  <c r="K151" i="9"/>
  <c r="J151" i="9"/>
  <c r="K148" i="9"/>
  <c r="J148" i="9"/>
  <c r="K114" i="9"/>
  <c r="J114" i="9"/>
  <c r="K113" i="9"/>
  <c r="J113" i="9"/>
  <c r="K112" i="9"/>
  <c r="J112" i="9"/>
  <c r="K111" i="9"/>
  <c r="J111" i="9"/>
  <c r="K110" i="9"/>
  <c r="J110" i="9"/>
  <c r="K109" i="9"/>
  <c r="J109" i="9"/>
  <c r="K108" i="9"/>
  <c r="J108" i="9"/>
  <c r="K107" i="9"/>
  <c r="J107" i="9"/>
  <c r="K106" i="9"/>
  <c r="J106" i="9"/>
  <c r="K105" i="9"/>
  <c r="J105" i="9"/>
  <c r="K104" i="9"/>
  <c r="J104" i="9"/>
  <c r="K103" i="9"/>
  <c r="J103" i="9"/>
  <c r="K102" i="9"/>
  <c r="J102" i="9"/>
  <c r="K101" i="9"/>
  <c r="J101" i="9"/>
  <c r="K100" i="9"/>
  <c r="J100" i="9"/>
  <c r="K99" i="9"/>
  <c r="J99" i="9"/>
  <c r="K98" i="9"/>
  <c r="J98" i="9"/>
  <c r="K97" i="9"/>
  <c r="J97" i="9"/>
  <c r="K96" i="9"/>
  <c r="J96" i="9"/>
  <c r="K95" i="9"/>
  <c r="J95" i="9"/>
  <c r="K94" i="9"/>
  <c r="J94" i="9"/>
  <c r="K93" i="9"/>
  <c r="J93" i="9"/>
  <c r="K92" i="9"/>
  <c r="J92" i="9"/>
  <c r="K91" i="9"/>
  <c r="J91" i="9"/>
  <c r="K66" i="9"/>
  <c r="J66" i="9"/>
  <c r="K40" i="9"/>
  <c r="J40" i="9"/>
  <c r="K39" i="9"/>
  <c r="J39" i="9"/>
  <c r="K38" i="9"/>
  <c r="J38" i="9"/>
  <c r="K37" i="9"/>
  <c r="J37" i="9"/>
  <c r="K36" i="9"/>
  <c r="J36" i="9"/>
  <c r="K35" i="9"/>
  <c r="J35" i="9"/>
  <c r="K34" i="9"/>
  <c r="J34" i="9"/>
  <c r="K33" i="9"/>
  <c r="J33" i="9"/>
  <c r="J61" i="9" l="1"/>
  <c r="K32" i="9" l="1"/>
  <c r="J32" i="9"/>
  <c r="K31" i="9"/>
  <c r="J31" i="9"/>
  <c r="K30" i="9"/>
  <c r="J30" i="9"/>
  <c r="K29" i="9" l="1"/>
  <c r="J29" i="9"/>
  <c r="K28" i="9"/>
  <c r="J28" i="9"/>
  <c r="K27" i="9"/>
  <c r="J27" i="9"/>
  <c r="K26" i="9"/>
  <c r="J26" i="9"/>
  <c r="K25" i="9"/>
  <c r="J25" i="9"/>
  <c r="K24" i="9"/>
  <c r="J24" i="9"/>
  <c r="K23" i="9"/>
  <c r="J23" i="9"/>
  <c r="K22" i="9"/>
  <c r="J22" i="9"/>
  <c r="K21" i="9"/>
  <c r="J21" i="9"/>
  <c r="K181" i="9"/>
  <c r="J181" i="9"/>
  <c r="K118" i="9"/>
  <c r="J118" i="9"/>
  <c r="K43" i="9"/>
  <c r="J43" i="9"/>
  <c r="K42" i="9"/>
  <c r="J42" i="9"/>
  <c r="K138" i="9"/>
  <c r="J138" i="9"/>
  <c r="K190" i="9"/>
  <c r="J190" i="9"/>
  <c r="K122" i="9"/>
  <c r="J122" i="9"/>
  <c r="K55" i="9"/>
  <c r="J55" i="9"/>
  <c r="K189" i="9"/>
  <c r="J189" i="9"/>
  <c r="K121" i="9"/>
  <c r="J121" i="9"/>
  <c r="K54" i="9"/>
  <c r="J54" i="9"/>
  <c r="K200" i="9"/>
  <c r="J200" i="9"/>
  <c r="K196" i="9"/>
  <c r="J196" i="9"/>
  <c r="K197" i="9"/>
  <c r="J197" i="9"/>
  <c r="K195" i="9"/>
  <c r="J195" i="9"/>
  <c r="K194" i="9"/>
  <c r="J194" i="9"/>
  <c r="K173" i="9"/>
  <c r="J173" i="9"/>
  <c r="K128" i="9"/>
  <c r="J128" i="9"/>
  <c r="K127" i="9"/>
  <c r="J127" i="9"/>
  <c r="K125" i="9"/>
  <c r="J125" i="9"/>
  <c r="K67" i="9"/>
  <c r="J67" i="9"/>
  <c r="K60" i="9"/>
  <c r="J60" i="9"/>
  <c r="K59" i="9"/>
  <c r="J59" i="9"/>
  <c r="K58" i="9"/>
  <c r="J58" i="9"/>
  <c r="K57" i="9"/>
  <c r="J57" i="9"/>
  <c r="K198" i="9"/>
  <c r="J198" i="9"/>
  <c r="K193" i="9"/>
  <c r="J193" i="9"/>
  <c r="K192" i="9"/>
  <c r="J192" i="9"/>
  <c r="K188" i="9"/>
  <c r="J188" i="9"/>
  <c r="K187" i="9"/>
  <c r="J187" i="9"/>
  <c r="K186" i="9"/>
  <c r="J186" i="9"/>
  <c r="K185" i="9"/>
  <c r="J185" i="9"/>
  <c r="K184" i="9"/>
  <c r="J184" i="9"/>
  <c r="K199" i="9"/>
  <c r="J199" i="9"/>
  <c r="K183" i="9"/>
  <c r="J183" i="9"/>
  <c r="K178" i="9"/>
  <c r="J178" i="9"/>
  <c r="K177" i="9"/>
  <c r="J177" i="9"/>
  <c r="K176" i="9"/>
  <c r="J176" i="9"/>
  <c r="K175" i="9"/>
  <c r="J175" i="9"/>
  <c r="K174" i="9"/>
  <c r="J174" i="9"/>
  <c r="K144" i="9"/>
  <c r="J144" i="9"/>
  <c r="K143" i="9"/>
  <c r="J143" i="9"/>
  <c r="K142" i="9"/>
  <c r="J142" i="9"/>
  <c r="K134" i="9"/>
  <c r="J134" i="9"/>
  <c r="K132" i="9"/>
  <c r="J132" i="9"/>
  <c r="K131" i="9"/>
  <c r="J131" i="9"/>
  <c r="K130" i="9"/>
  <c r="J130" i="9"/>
  <c r="K129" i="9"/>
  <c r="J129" i="9"/>
  <c r="K124" i="9"/>
  <c r="J124" i="9"/>
  <c r="K126" i="9"/>
  <c r="J126" i="9"/>
  <c r="K90" i="9"/>
  <c r="J90" i="9"/>
  <c r="K89" i="9"/>
  <c r="J89" i="9"/>
  <c r="K88" i="9"/>
  <c r="J88" i="9"/>
  <c r="K75" i="9" l="1"/>
  <c r="J75" i="9"/>
  <c r="K86" i="9"/>
  <c r="J86" i="9"/>
  <c r="K84" i="9"/>
  <c r="J84" i="9"/>
  <c r="K83" i="9"/>
  <c r="J83" i="9"/>
  <c r="K82" i="9"/>
  <c r="J82" i="9"/>
  <c r="K69" i="9"/>
  <c r="J69" i="9"/>
  <c r="K65" i="9"/>
  <c r="J65" i="9"/>
  <c r="K64" i="9"/>
  <c r="J64" i="9"/>
  <c r="K63" i="9"/>
  <c r="J63" i="9"/>
  <c r="K62" i="9"/>
  <c r="J62" i="9"/>
  <c r="K20" i="9"/>
  <c r="J20" i="9"/>
  <c r="K19" i="9"/>
  <c r="J19" i="9"/>
  <c r="K18" i="9"/>
  <c r="J18" i="9"/>
  <c r="K17" i="9"/>
  <c r="J17" i="9"/>
  <c r="K16" i="9"/>
  <c r="J16" i="9"/>
  <c r="K15" i="9"/>
  <c r="J15" i="9"/>
  <c r="K14" i="9"/>
  <c r="J14" i="9"/>
  <c r="K13" i="9"/>
  <c r="J13" i="9"/>
  <c r="K56" i="9"/>
  <c r="J56" i="9"/>
  <c r="K11" i="9"/>
  <c r="J11" i="9"/>
  <c r="K12" i="9"/>
  <c r="J12" i="9"/>
  <c r="K9" i="9"/>
  <c r="J9" i="9"/>
  <c r="K8" i="9"/>
  <c r="J8" i="9"/>
  <c r="K7" i="9"/>
  <c r="J7" i="9"/>
  <c r="K182" i="9"/>
  <c r="J182" i="9"/>
  <c r="K180" i="9"/>
  <c r="J180" i="9"/>
  <c r="K179" i="9"/>
  <c r="J179" i="9"/>
  <c r="K149" i="9"/>
  <c r="J149" i="9"/>
  <c r="K140" i="9"/>
  <c r="J140" i="9"/>
  <c r="K139" i="9"/>
  <c r="J139" i="9"/>
  <c r="K137" i="9"/>
  <c r="J137" i="9"/>
  <c r="K136" i="9"/>
  <c r="J136" i="9"/>
  <c r="K120" i="9"/>
  <c r="J120" i="9"/>
  <c r="K119" i="9"/>
  <c r="J119" i="9"/>
  <c r="K117" i="9"/>
  <c r="J117" i="9"/>
  <c r="K116" i="9"/>
  <c r="J116" i="9"/>
  <c r="K115" i="9"/>
  <c r="J115" i="9"/>
  <c r="K87" i="9"/>
  <c r="J87" i="9"/>
  <c r="K74" i="9"/>
  <c r="J74" i="9"/>
  <c r="K73" i="9"/>
  <c r="J73" i="9"/>
  <c r="K72" i="9"/>
  <c r="J72" i="9"/>
  <c r="K71" i="9"/>
  <c r="J71" i="9"/>
  <c r="K53" i="9"/>
  <c r="J53" i="9"/>
  <c r="K52" i="9"/>
  <c r="J52" i="9"/>
  <c r="K51" i="9"/>
  <c r="J51" i="9"/>
  <c r="K50" i="9"/>
  <c r="J50" i="9"/>
  <c r="K49" i="9"/>
  <c r="J49" i="9"/>
  <c r="K48" i="9"/>
  <c r="J48" i="9"/>
  <c r="K47" i="9"/>
  <c r="J47" i="9"/>
  <c r="K46" i="9"/>
  <c r="J46" i="9"/>
  <c r="K45" i="9"/>
  <c r="J45" i="9"/>
  <c r="K44" i="9"/>
  <c r="J44" i="9"/>
  <c r="K6" i="9"/>
  <c r="J6" i="9"/>
  <c r="K5" i="9"/>
  <c r="J5" i="9"/>
  <c r="K4" i="9"/>
  <c r="J4" i="9"/>
  <c r="K3" i="9"/>
  <c r="J3" i="9"/>
  <c r="K141" i="9"/>
  <c r="J141" i="9"/>
  <c r="K70" i="9"/>
  <c r="J70" i="9"/>
  <c r="K2" i="9"/>
  <c r="J2" i="9"/>
  <c r="K133" i="9"/>
  <c r="J133" i="9"/>
  <c r="K68" i="9"/>
  <c r="J68" i="9"/>
  <c r="K172" i="9"/>
  <c r="J172" i="9"/>
  <c r="K135" i="9"/>
  <c r="J135" i="9"/>
  <c r="K85" i="9"/>
  <c r="J85" i="9"/>
  <c r="K10" i="9"/>
  <c r="J10" i="9"/>
</calcChain>
</file>

<file path=xl/sharedStrings.xml><?xml version="1.0" encoding="utf-8"?>
<sst xmlns="http://schemas.openxmlformats.org/spreadsheetml/2006/main" count="822" uniqueCount="322">
  <si>
    <t>END</t>
  </si>
  <si>
    <t>Cuenta</t>
  </si>
  <si>
    <t>Nº Asiento</t>
  </si>
  <si>
    <t>Fecha</t>
  </si>
  <si>
    <t>Documento</t>
  </si>
  <si>
    <t>Concepto</t>
  </si>
  <si>
    <t>Debe</t>
  </si>
  <si>
    <t>Haber</t>
  </si>
  <si>
    <t>Saldo</t>
  </si>
  <si>
    <t>TICKET</t>
  </si>
  <si>
    <t>SHIFT SHIFT TECHNOLOGIES INC</t>
  </si>
  <si>
    <t>TGSS ORGANISMOS DE LA SEGURIDAD SOCIAL, ACREEDORES</t>
  </si>
  <si>
    <t>N/FRA. Nº 0001 PERK FINANCE SL</t>
  </si>
  <si>
    <t>N/FRA. Nº 0002 GEOBLINK SL</t>
  </si>
  <si>
    <t>N/FRA. Nº 0003 DINERO GELT</t>
  </si>
  <si>
    <t>DEV COMIS CAIXABANK 9463</t>
  </si>
  <si>
    <t>COMISIONES CAIXABANK 9463</t>
  </si>
  <si>
    <t>NOMINAS DICIEMBRE</t>
  </si>
  <si>
    <t>SEGUROS CAIXABANK 9463</t>
  </si>
  <si>
    <t>S/FRA. Nº TICKET ACREEDORES POR PRESTACIÓN DE SERVICIOS</t>
  </si>
  <si>
    <t>B6RN</t>
  </si>
  <si>
    <t>S/FRA. Nº 0001 LA FABRICA COWORKING SL</t>
  </si>
  <si>
    <t>DEV COMISIONES CAIXABANK 9463</t>
  </si>
  <si>
    <t>COMIS TAREJTA CAIXABANK 9463</t>
  </si>
  <si>
    <t>COMIS CAIXABANK 9463</t>
  </si>
  <si>
    <t>COMISONES CAIXABANK 9463</t>
  </si>
  <si>
    <t>S/FRA. Nº 0091 BERENGUELA &amp; TAXES, S.L.</t>
  </si>
  <si>
    <t>S/FRA. Nº 7950 MAXI MOBILITY SPAIN SL</t>
  </si>
  <si>
    <t>S/FRA. Nº 5035 MAXI MOBILITY SPAIN SL</t>
  </si>
  <si>
    <t>S/FRA. Nº 0001 GONZALO REY ABELAIRA</t>
  </si>
  <si>
    <t>S/FRA. Nº 0004 SHIFT TECHNOLOGIES INC</t>
  </si>
  <si>
    <t>S/FRA. Nº 3991 SHIFT TECHNOLOGIES INC</t>
  </si>
  <si>
    <t>S/FRA. Nº 3000 LOGMEIN IRELAND UNLIMETED COMPANY</t>
  </si>
  <si>
    <t>S/FRA. Nº 3201 ACREEDORES POR PRESTACIÓN DE SERVICIOS</t>
  </si>
  <si>
    <t>S/FRA. Nº B6RN MICROSOFT IRLAND OPERATIONS LTD</t>
  </si>
  <si>
    <t>S/FRA. Nº 0888 ALCAMPO SA</t>
  </si>
  <si>
    <t>S/FRA. Nº 7224 LINKEDIN IRELAND UNLIMETED</t>
  </si>
  <si>
    <t>S/FRA. Nº 4884 LINKEDIN IRELAND UNLIMETED</t>
  </si>
  <si>
    <t>S/FRA. Nº 0145 PERK FINANCE, S.L.</t>
  </si>
  <si>
    <t>S/FRA. Nº 0062 SHENZHENSHI FEIERSI DIANZI YOUXIAN GONGSI</t>
  </si>
  <si>
    <t>S/FRA. Nº 2514 AMAZON EU SARL SUCURSAL EN ESPAÑA</t>
  </si>
  <si>
    <t>S/FRA. Nº 2029 AMAZON EU SARL SUCURSAL EN ESPAÑA</t>
  </si>
  <si>
    <t>S/FRA. Nº 2128 AMAZON EU SARL SUCURSAL EN ESPAÑA</t>
  </si>
  <si>
    <t>S/FRA. Nº 0220 SHENZHENSHI BAOANQU BISHUN SHANGMAOHANG</t>
  </si>
  <si>
    <t>NOMINA ENERO</t>
  </si>
  <si>
    <t>S/FRA. Nº NOMINA ENERO [PROVEEDOR]</t>
  </si>
  <si>
    <t>N/FRA. Nº 0004 GELT CASH TRANSFER S.L.U.</t>
  </si>
  <si>
    <t>N/FRA. Nº 0005 PROSEGUR CUSTODIA DE ACTIVOS DIGITALES S.L.</t>
  </si>
  <si>
    <t>N/FRA. Nº 0006 ALPHA3 CASHLABS SL.</t>
  </si>
  <si>
    <t>N/FRA. Nº 0007 GELT BRASIL CONSLTORIA EM TECNOLOGIA DA INFORMAÇAO</t>
  </si>
  <si>
    <t>N/FRA. Nº 0008 USIZY SL</t>
  </si>
  <si>
    <t>N/FRA. Nº 0009 NORAREALFOOD SL</t>
  </si>
  <si>
    <t>N/FRA. Nº 0010 IDOVEN 1903, S.L.</t>
  </si>
  <si>
    <t>N/FRA. Nº 0011 WHEELS LABS INC</t>
  </si>
  <si>
    <t>N/FRA. Nº 0012 ROI PERFORMANCE MEDIA S.L</t>
  </si>
  <si>
    <t>N/FRA. Nº 0014 VALIDATED ID SL</t>
  </si>
  <si>
    <t>N/FRA. Nº 0015 GRAPHEXT LABS, S.L.</t>
  </si>
  <si>
    <t>N/FRA. Nº 0017 MEDICINAL GARDENS SL</t>
  </si>
  <si>
    <t>N/FRA. Nº 0018 CLARITY AI EUROPE S.L.U.</t>
  </si>
  <si>
    <t>N/FRA. Nº 0019 AGROSINGULARITY SL</t>
  </si>
  <si>
    <t>N/FRA. Nº 0020 NGLOBAL HOLDING AB</t>
  </si>
  <si>
    <t>N/FRA. Nº 0021 ENTREPINOS PLANT BASED S.L.</t>
  </si>
  <si>
    <t>N/FRA. Nº 0022 DEMIUM STARTUPS SL</t>
  </si>
  <si>
    <t>N/FRA. Nº 1848 EBURY PARTNERS UK LTD</t>
  </si>
  <si>
    <t/>
  </si>
  <si>
    <t>0002</t>
  </si>
  <si>
    <t>0019</t>
  </si>
  <si>
    <t>0009</t>
  </si>
  <si>
    <t>0209</t>
  </si>
  <si>
    <t>0001</t>
  </si>
  <si>
    <t>0222</t>
  </si>
  <si>
    <t>0023</t>
  </si>
  <si>
    <t>0024</t>
  </si>
  <si>
    <t>SHIFT YEARLY PLAN SHIFT TECHNOLOGIES INC</t>
  </si>
  <si>
    <t>0036</t>
  </si>
  <si>
    <t>M3JT</t>
  </si>
  <si>
    <t>0047</t>
  </si>
  <si>
    <t>S/FRA. Nº 0019 LA FABRICA COWORKING SL</t>
  </si>
  <si>
    <t>SEGURO CAIXABANK 9463</t>
  </si>
  <si>
    <t>S/FRA. Nº 0209 BERENGUELA &amp; TAXES, S.L.</t>
  </si>
  <si>
    <t>0210</t>
  </si>
  <si>
    <t>S/FRA. Nº 0210 BERENGUELA &amp; TAXES, S.L.</t>
  </si>
  <si>
    <t>SUPLIDO</t>
  </si>
  <si>
    <t>S/FRA. Nº SUPLIDO BERENGUELA &amp; TAXES, S.L.</t>
  </si>
  <si>
    <t>S/FRA. Nº 6666 SHIFT TECHNOLOGIES INC</t>
  </si>
  <si>
    <t>S/FRA. Nº M3JT MICROSOFT IRLAND OPERATIONS LTD</t>
  </si>
  <si>
    <t>0225</t>
  </si>
  <si>
    <t>S/FRA. Nº 0225 REFRUITING,S.L</t>
  </si>
  <si>
    <t>0003</t>
  </si>
  <si>
    <t>S/FRA. Nº 0003 GONZALO REY ABELAIRA</t>
  </si>
  <si>
    <t>S/FRA. Nº 4534 LINKEDIN IRELAND UNLIMETED</t>
  </si>
  <si>
    <t>S/FRA. Nº 1874 LINKEDIN IRELAND UNLIMETED</t>
  </si>
  <si>
    <t>S/FRA. Nº 9622 GOOGLE IRELAND LIMITED</t>
  </si>
  <si>
    <t>S/FRA. Nº 7925 AMAZON EU SARL SUCURSAL EN ESPAÑA</t>
  </si>
  <si>
    <t>S/FRA. Nº 1079 ALCAMPO SA</t>
  </si>
  <si>
    <t>NOMINA FEBRERO</t>
  </si>
  <si>
    <t>S/FRA. Nº NOMINA FEBRERO [PROVEEDOR]</t>
  </si>
  <si>
    <t>N/FRA. Nº 0024 BERENGUELA &amp; TAXES SLP</t>
  </si>
  <si>
    <t>0025</t>
  </si>
  <si>
    <t>N/FRA. Nº 0025 INTELECTIUM CONSULTING, SL</t>
  </si>
  <si>
    <t>0026</t>
  </si>
  <si>
    <t>N/FRA. Nº 0026 INTELECTIUM FUNDING ACCELERATOR MADRID SL</t>
  </si>
  <si>
    <t>0027</t>
  </si>
  <si>
    <t>N/FRA. Nº 0027 PERK FINANCE SL</t>
  </si>
  <si>
    <t>0028</t>
  </si>
  <si>
    <t>N/FRA. Nº 0028 GEOBLINK SL</t>
  </si>
  <si>
    <t>0029</t>
  </si>
  <si>
    <t>N/FRA. Nº 0029 DINERO GELT</t>
  </si>
  <si>
    <t>0030</t>
  </si>
  <si>
    <t>N/FRA. Nº 0030 GELT CASH TRANSFER S.L.U.</t>
  </si>
  <si>
    <t>0031</t>
  </si>
  <si>
    <t>N/FRA. Nº 0031 PROSEGUR CUSTODIA DE ACTIVOS DIGITALES S.L.</t>
  </si>
  <si>
    <t>0033</t>
  </si>
  <si>
    <t>N/FRA. Nº 0033 GELT BRASIL CONSLTORIA EM TECNOLOGIA DA INFORMAÇAO</t>
  </si>
  <si>
    <t>0032</t>
  </si>
  <si>
    <t>N/FRA. Nº 0032 ALPHA3 CASHLABS SL.</t>
  </si>
  <si>
    <t>0034</t>
  </si>
  <si>
    <t>N/FRA. Nº 0034 USIZY SL</t>
  </si>
  <si>
    <t>0035</t>
  </si>
  <si>
    <t>N/FRA. Nº 0035 NORAREALFOOD SL</t>
  </si>
  <si>
    <t>N/FRA. Nº 0036 IDOVEN 1903, S.L.</t>
  </si>
  <si>
    <t>0037</t>
  </si>
  <si>
    <t>N/FRA. Nº 0037 WHEELS LABS INC</t>
  </si>
  <si>
    <t>0038</t>
  </si>
  <si>
    <t>N/FRA. Nº 0038 ROI PERFORMANCE MEDIA S.L</t>
  </si>
  <si>
    <t>0039</t>
  </si>
  <si>
    <t>N/FRA. Nº 0039 VALIDATED ID SL</t>
  </si>
  <si>
    <t>0040</t>
  </si>
  <si>
    <t>N/FRA. Nº 0040 GRAPHEXT LABS, S.L.</t>
  </si>
  <si>
    <t>0042</t>
  </si>
  <si>
    <t>N/FRA. Nº 0042 MEDICINAL GARDENS SL</t>
  </si>
  <si>
    <t>0043</t>
  </si>
  <si>
    <t>N/FRA. Nº 0043 CLARITY AI EUROPE S.L.U.</t>
  </si>
  <si>
    <t>0044</t>
  </si>
  <si>
    <t>N/FRA. Nº 0044 AGROSINGULARITY SL</t>
  </si>
  <si>
    <t>0045</t>
  </si>
  <si>
    <t>N/FRA. Nº 0045 NGLOBAL HOLDING AB</t>
  </si>
  <si>
    <t>0046</t>
  </si>
  <si>
    <t>N/FRA. Nº 0046 NUBENTOS THE API MARKETPLACE FOR HEALTH, SL</t>
  </si>
  <si>
    <t>N/FRA. Nº 0047 BILD38 GMBH</t>
  </si>
  <si>
    <t>0048</t>
  </si>
  <si>
    <t>N/FRA. Nº 0048 DEMIUM STARTUPS SL</t>
  </si>
  <si>
    <t>N/FRA. Nº 1909 EBURY PARTNERS UK LTD</t>
  </si>
  <si>
    <t>G0001</t>
  </si>
  <si>
    <t>N/FRA. Nº G0001 KAIKOO GAMING, S.L.</t>
  </si>
  <si>
    <t>N/FRA. Nº SUPLIDO KAIKOO GAMING, S.L.</t>
  </si>
  <si>
    <t>G0002</t>
  </si>
  <si>
    <t>N/FRA. Nº G0002 VIDOQUI REAL ESTATE, S.L.</t>
  </si>
  <si>
    <t>G0003</t>
  </si>
  <si>
    <t>N/FRA. Nº G0003 FAFU REN</t>
  </si>
  <si>
    <t>N/FRA. Nº SUPLIDO FAFU REN</t>
  </si>
  <si>
    <t>S/FRA. Nº 0002 GONZALO REY ABELAIRA</t>
  </si>
  <si>
    <t>N/FRA. Nº 0023 ANTONIO DIEGO ESPINOSA DE LOS MONTEROS DARNAUDE</t>
  </si>
  <si>
    <t>S/FRA. Nº 0222 REFRUITING,S.L</t>
  </si>
  <si>
    <t>0005</t>
  </si>
  <si>
    <t>0060</t>
  </si>
  <si>
    <t>0064</t>
  </si>
  <si>
    <t>0011</t>
  </si>
  <si>
    <t>G0005</t>
  </si>
  <si>
    <t>0324</t>
  </si>
  <si>
    <t>G1006</t>
  </si>
  <si>
    <t>0131</t>
  </si>
  <si>
    <t>XB7X</t>
  </si>
  <si>
    <t>0071</t>
  </si>
  <si>
    <t>S/FRA. Nº 1493 LA FABRICA COWORKING SL</t>
  </si>
  <si>
    <t>S/FRA. Nº 0005 FINCAS LEBEL SL</t>
  </si>
  <si>
    <t>COMISIO CAIXABANK 9463</t>
  </si>
  <si>
    <t>PR FA CAIXABANK 9463</t>
  </si>
  <si>
    <t>S/FRA. Nº 8369 MAXI MOBILITY SPAIN SL</t>
  </si>
  <si>
    <t>S/FRA. Nº 0324 BERENGUELA &amp; TAXES, S.L.</t>
  </si>
  <si>
    <t>0325</t>
  </si>
  <si>
    <t>S/FRA. Nº 0325 BERENGUELA &amp; TAXES, S.L.</t>
  </si>
  <si>
    <t>TIKCET</t>
  </si>
  <si>
    <t>S/FRA. Nº TIKCET ACREEDORES POR PRESTACIÓN DE SERVICIOS</t>
  </si>
  <si>
    <t>S/FRA. Nº 0011 OCIO AL FILO, S.L.</t>
  </si>
  <si>
    <t>S/FRA. Nº XB7X MICROSOFT IRLAND OPERATIONS LTD</t>
  </si>
  <si>
    <t>S/FRA. Nº 2924 LINKEDIN IRELAND UNLIMETED</t>
  </si>
  <si>
    <t>S/FRA. Nº 4734 LINKEDIN IRELAND UNLIMETED</t>
  </si>
  <si>
    <t>S/FRA. Nº 6200 LOGMEIN IRELAND UNLIMETED COMPANY</t>
  </si>
  <si>
    <t>S/FRA. Nº 9407 SHIFT TECHNOLOGIES INC</t>
  </si>
  <si>
    <t>0004</t>
  </si>
  <si>
    <t>S/FRA. Nº 0004 GONZALO REY ABELAIRA</t>
  </si>
  <si>
    <t>S/FRA. Nº 0004 MAIALEN ECIOLAZA SANTOS</t>
  </si>
  <si>
    <t>S/FRA. Nº 4140 GOOGLE IRELAND LIMITED</t>
  </si>
  <si>
    <t>0784</t>
  </si>
  <si>
    <t>S/FRA. Nº  0784 PERK FINANCE, S.L.</t>
  </si>
  <si>
    <t>TDNY</t>
  </si>
  <si>
    <t>S/FRA. Nº TDNY DROPBOX INTERNATIONAL UNLIMETED COMPANY</t>
  </si>
  <si>
    <t>0494</t>
  </si>
  <si>
    <t>S/FRA. Nº 0494 WORKCENTER SERVICIOS GLOBALES DE DOCUMENTACION SA</t>
  </si>
  <si>
    <t>0012</t>
  </si>
  <si>
    <t>S/FRA. Nº 0012 ANA ISABEL FRAIDIAS MARIN</t>
  </si>
  <si>
    <t>0530</t>
  </si>
  <si>
    <t>S/FRA. Nº 0530 AMAZON EU SARL SUCURSAL EN ESPAÑA</t>
  </si>
  <si>
    <t>0085</t>
  </si>
  <si>
    <t>S/FRA. Nº 0085 PROYENE SL</t>
  </si>
  <si>
    <t>S/FRA. Nº 8054 SHENZHENSHIYINGFEIKEDIANZIYOUXIANGONGSI</t>
  </si>
  <si>
    <t>NOMINAS</t>
  </si>
  <si>
    <t>S/FRA. Nº NOMINAS [PROVEEDOR]</t>
  </si>
  <si>
    <t>INTERESES CAIXABANK 9463</t>
  </si>
  <si>
    <t>0050</t>
  </si>
  <si>
    <t>N/FRA. Nº 0050 INTELECTIUM FUNDING ACCELERATOR MADRID SL</t>
  </si>
  <si>
    <t>0051</t>
  </si>
  <si>
    <t>N/FRA. Nº 0051 PERK FINANCE SL</t>
  </si>
  <si>
    <t>0052</t>
  </si>
  <si>
    <t>N/FRA. Nº 0052 GEOBLINK SL</t>
  </si>
  <si>
    <t>0053</t>
  </si>
  <si>
    <t>N/FRA. Nº 0053 DINERO GELT</t>
  </si>
  <si>
    <t>0054</t>
  </si>
  <si>
    <t>N/FRA. Nº 0054 GELT CASH TRANSFER S.L.U.</t>
  </si>
  <si>
    <t>0055</t>
  </si>
  <si>
    <t>N/FRA. Nº 0055 PROSEGUR CUSTODIA DE ACTIVOS DIGITALES S.L.</t>
  </si>
  <si>
    <t>0056</t>
  </si>
  <si>
    <t>N/FRA. Nº 0056 ALPHA3 CASHLABS SL.</t>
  </si>
  <si>
    <t>0057</t>
  </si>
  <si>
    <t>N/FRA. Nº 0057 GELT BRASIL CONSLTORIA EM TECNOLOGIA DA INFORMAÇAO</t>
  </si>
  <si>
    <t>0058</t>
  </si>
  <si>
    <t>N/FRA. Nº 0058 USIZY SL</t>
  </si>
  <si>
    <t>0059</t>
  </si>
  <si>
    <t>N/FRA. Nº 0059 NORAREALFOOD SL</t>
  </si>
  <si>
    <t>N/FRA. Nº 0060 IDOVEN 1903, S.L.</t>
  </si>
  <si>
    <t>0061</t>
  </si>
  <si>
    <t>N/FRA. Nº 0061 WHEELS LABS INC</t>
  </si>
  <si>
    <t>0062</t>
  </si>
  <si>
    <t>N/FRA. Nº 0062 ROI PERFORMANCE MEDIA S.L</t>
  </si>
  <si>
    <t>0063</t>
  </si>
  <si>
    <t>N/FRA. Nº 0063 VALIDATED ID SL</t>
  </si>
  <si>
    <t>N/FRA. Nº 0064 GRAPHEXT LABS, S.L.</t>
  </si>
  <si>
    <t>0066</t>
  </si>
  <si>
    <t>N/FRA. Nº 0066 MEDICINAL GARDENS SL</t>
  </si>
  <si>
    <t>0067</t>
  </si>
  <si>
    <t>N/FRA. Nº 0067 CLARITY AI EUROPE S.L.U.</t>
  </si>
  <si>
    <t>0068</t>
  </si>
  <si>
    <t>N/FRA. Nº 0068 AGROSINGULARITY SL</t>
  </si>
  <si>
    <t>0069</t>
  </si>
  <si>
    <t>N/FRA. Nº 0069 NGLOBAL HOLDING AB</t>
  </si>
  <si>
    <t>0070</t>
  </si>
  <si>
    <t>N/FRA. Nº 0070 NUBENTOS THE API MARKETPLACE FOR HEALTH, SL</t>
  </si>
  <si>
    <t>N/FRA. Nº 0071 BUILD38 GMBH</t>
  </si>
  <si>
    <t>0072</t>
  </si>
  <si>
    <t>N/FRA. Nº 0072 SE SORTEA SL</t>
  </si>
  <si>
    <t>N/FRA. Nº 1977 EBURY PARTNERS UK LTD</t>
  </si>
  <si>
    <t>G0004</t>
  </si>
  <si>
    <t>N/FRA. Nº G0004 KAIKOO GAMING, S.L.</t>
  </si>
  <si>
    <t>N/FRA. Nº G0005 VIDOQUI REAL ESTATE, S.L.</t>
  </si>
  <si>
    <t>N/FRA. Nº G1006 FAFU REN</t>
  </si>
  <si>
    <t>S/FRA. Nº 0131 NORBERTO GONZALEZ SOBRINO</t>
  </si>
  <si>
    <t>0006</t>
  </si>
  <si>
    <t>0007</t>
  </si>
  <si>
    <t>0008</t>
  </si>
  <si>
    <t>0010</t>
  </si>
  <si>
    <t>Nombre cuenta</t>
  </si>
  <si>
    <t>0145</t>
  </si>
  <si>
    <t>0407</t>
  </si>
  <si>
    <t>S/FRA. Nº  0407 PERK FINANCE, S.L.</t>
  </si>
  <si>
    <t>3201</t>
  </si>
  <si>
    <t>0091</t>
  </si>
  <si>
    <t>3991</t>
  </si>
  <si>
    <t>6666</t>
  </si>
  <si>
    <t>9407</t>
  </si>
  <si>
    <t>9263</t>
  </si>
  <si>
    <t>S/FRA. Nº 9263 GOOGLE IRELAND LIMITED</t>
  </si>
  <si>
    <t>9622</t>
  </si>
  <si>
    <t>4140</t>
  </si>
  <si>
    <t>7224</t>
  </si>
  <si>
    <t>4884</t>
  </si>
  <si>
    <t>4534</t>
  </si>
  <si>
    <t>1874</t>
  </si>
  <si>
    <t>2924</t>
  </si>
  <si>
    <t>4734</t>
  </si>
  <si>
    <t>7950</t>
  </si>
  <si>
    <t>5035</t>
  </si>
  <si>
    <t>8369</t>
  </si>
  <si>
    <t>1493</t>
  </si>
  <si>
    <t>2514</t>
  </si>
  <si>
    <t>2029</t>
  </si>
  <si>
    <t>2128</t>
  </si>
  <si>
    <t>7925</t>
  </si>
  <si>
    <t>0888</t>
  </si>
  <si>
    <t>1079</t>
  </si>
  <si>
    <t>0259</t>
  </si>
  <si>
    <t>S/FRA. Nº 0259 REFRUITING,S.L</t>
  </si>
  <si>
    <t>3000</t>
  </si>
  <si>
    <t>6200</t>
  </si>
  <si>
    <t>8054</t>
  </si>
  <si>
    <t>0220</t>
  </si>
  <si>
    <t>0017</t>
  </si>
  <si>
    <t>0021</t>
  </si>
  <si>
    <t>0020</t>
  </si>
  <si>
    <t>0014</t>
  </si>
  <si>
    <t>0015</t>
  </si>
  <si>
    <t>1848</t>
  </si>
  <si>
    <t>1909</t>
  </si>
  <si>
    <t>1977</t>
  </si>
  <si>
    <t>0022</t>
  </si>
  <si>
    <t>0018</t>
  </si>
  <si>
    <t>ARRENDAMIENTOS Y CANONES</t>
  </si>
  <si>
    <t>SERVICIOS DE PROFESIONALES INDEPENDIENTES</t>
  </si>
  <si>
    <t>PRIMAS DE SEGUROS</t>
  </si>
  <si>
    <t>SERVICIOS BANCARIOS Y SIMILARES</t>
  </si>
  <si>
    <t>EBURY CAIXABANK 9463</t>
  </si>
  <si>
    <t>OTROS SERVICIOS</t>
  </si>
  <si>
    <t>GASTOS MATERIAL OFICINA</t>
  </si>
  <si>
    <t>SUELDOS Y SALARIOS</t>
  </si>
  <si>
    <t>SEGURIDAD SOCIAL A CARGO DE LA EMPRESA</t>
  </si>
  <si>
    <t>INTERESES DE DEUDAS CON ENTIDADES DE CREDITO</t>
  </si>
  <si>
    <t>DIFERENCIAS NEGATIVAS DE CAMBIO</t>
  </si>
  <si>
    <t>PRESTACIONES DE SERVICIOS</t>
  </si>
  <si>
    <t>INGRESOS SIN IVA - REFERIDOS</t>
  </si>
  <si>
    <t>ASESORAMIENTO TRIBUTARIO</t>
  </si>
  <si>
    <t>INGRESOS POR SERVICIOS AL PERSONAL</t>
  </si>
  <si>
    <t>Neto</t>
  </si>
  <si>
    <t>Mes</t>
  </si>
  <si>
    <t>Tipo de gasto</t>
  </si>
  <si>
    <t>Admin</t>
  </si>
  <si>
    <t>Other</t>
  </si>
  <si>
    <t>IT</t>
  </si>
  <si>
    <t>Sales</t>
  </si>
  <si>
    <t>CFO</t>
  </si>
  <si>
    <t>NA</t>
  </si>
  <si>
    <t>Gestoría</t>
  </si>
  <si>
    <t>Intelectium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</si>
</sst>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409]mmm/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color rgb="FF000000"/>
      <name val="Arial"/>
      <family val="2"/>
    </font>
    <font>
      <sz val="12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303030"/>
      <name val="Arial"/>
      <family val="2"/>
    </font>
    <font>
      <sz val="10"/>
      <color rgb="FF000000"/>
      <name val="Arial"/>
      <family val="2"/>
    </font>
    <font>
      <sz val="8"/>
      <color rgb="FFFF0000"/>
      <name val="Arial"/>
      <family val="2"/>
    </font>
    <font>
      <sz val="1"/>
      <color rgb="FF000000"/>
      <name val="Arial"/>
      <family val="2"/>
    </font>
    <font>
      <b/>
      <sz val="14"/>
      <color rgb="FFFFFFFF"/>
      <name val="Arial"/>
      <family val="2"/>
    </font>
    <font>
      <b/>
      <sz val="8"/>
      <color rgb="FFFFFFFF"/>
      <name val="Arial"/>
      <family val="2"/>
    </font>
    <font>
      <sz val="14"/>
      <color rgb="FF00408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sz val="12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7FACD3"/>
        <bgColor indexed="64"/>
      </patternFill>
    </fill>
    <fill>
      <patternFill patternType="solid">
        <fgColor rgb="FF9AC725"/>
        <bgColor indexed="64"/>
      </patternFill>
    </fill>
  </fills>
  <borders count="1">
    <border>
      <left/>
      <right/>
      <top/>
      <bottom/>
      <diagonal/>
    </border>
  </borders>
  <cellStyleXfs count="51">
    <xf numFmtId="0" fontId="0" fillId="0" borderId="0"/>
    <xf numFmtId="0" fontId="1" fillId="0" borderId="0"/>
    <xf numFmtId="0" fontId="5" fillId="3" borderId="0">
      <alignment horizontal="right" vertical="top"/>
    </xf>
    <xf numFmtId="0" fontId="6" fillId="0" borderId="0"/>
    <xf numFmtId="0" fontId="5" fillId="0" borderId="0">
      <alignment horizontal="right" vertical="top"/>
    </xf>
    <xf numFmtId="0" fontId="5" fillId="0" borderId="0">
      <alignment horizontal="left" vertical="top"/>
    </xf>
    <xf numFmtId="0" fontId="5" fillId="3" borderId="0">
      <alignment horizontal="right" vertical="top"/>
    </xf>
    <xf numFmtId="0" fontId="5" fillId="3" borderId="0">
      <alignment horizontal="left" vertical="top"/>
    </xf>
    <xf numFmtId="0" fontId="5" fillId="3" borderId="0">
      <alignment horizontal="left" vertical="top"/>
    </xf>
    <xf numFmtId="0" fontId="5" fillId="3" borderId="0">
      <alignment horizontal="right" vertical="top"/>
    </xf>
    <xf numFmtId="0" fontId="5" fillId="0" borderId="0">
      <alignment horizontal="right" vertical="top"/>
    </xf>
    <xf numFmtId="0" fontId="5" fillId="0" borderId="0">
      <alignment horizontal="left" vertical="top"/>
    </xf>
    <xf numFmtId="0" fontId="5" fillId="0" borderId="0">
      <alignment horizontal="left" vertical="top"/>
    </xf>
    <xf numFmtId="0" fontId="5" fillId="0" borderId="0">
      <alignment horizontal="right" vertical="top"/>
    </xf>
    <xf numFmtId="0" fontId="5" fillId="0" borderId="0">
      <alignment horizontal="right" vertical="top"/>
    </xf>
    <xf numFmtId="0" fontId="5" fillId="0" borderId="0">
      <alignment horizontal="left" vertical="top"/>
    </xf>
    <xf numFmtId="0" fontId="5" fillId="3" borderId="0">
      <alignment horizontal="left" vertical="top"/>
    </xf>
    <xf numFmtId="0" fontId="5" fillId="0" borderId="0">
      <alignment horizontal="left" vertical="top"/>
    </xf>
    <xf numFmtId="0" fontId="8" fillId="0" borderId="0">
      <alignment horizontal="right" vertical="center"/>
    </xf>
    <xf numFmtId="0" fontId="9" fillId="4" borderId="0">
      <alignment horizontal="left" vertical="top"/>
    </xf>
    <xf numFmtId="0" fontId="5" fillId="0" borderId="0">
      <alignment horizontal="right" vertical="top"/>
    </xf>
    <xf numFmtId="0" fontId="5" fillId="0" borderId="0">
      <alignment horizontal="right" vertical="top"/>
    </xf>
    <xf numFmtId="0" fontId="5" fillId="0" borderId="0">
      <alignment horizontal="right" vertical="top"/>
    </xf>
    <xf numFmtId="0" fontId="5" fillId="0" borderId="0">
      <alignment horizontal="left" vertical="top"/>
    </xf>
    <xf numFmtId="0" fontId="5" fillId="0" borderId="0">
      <alignment horizontal="left" vertical="top"/>
    </xf>
    <xf numFmtId="0" fontId="10" fillId="3" borderId="0">
      <alignment horizontal="left" vertical="top"/>
    </xf>
    <xf numFmtId="0" fontId="7" fillId="0" borderId="0">
      <alignment horizontal="right" vertical="top"/>
    </xf>
    <xf numFmtId="0" fontId="7" fillId="0" borderId="0">
      <alignment horizontal="right" vertical="top"/>
    </xf>
    <xf numFmtId="0" fontId="11" fillId="4" borderId="0">
      <alignment horizontal="left" vertical="top"/>
    </xf>
    <xf numFmtId="0" fontId="7" fillId="0" borderId="0">
      <alignment horizontal="right" vertical="top"/>
    </xf>
    <xf numFmtId="0" fontId="11" fillId="0" borderId="0">
      <alignment horizontal="left" vertical="top"/>
    </xf>
    <xf numFmtId="0" fontId="5" fillId="0" borderId="0">
      <alignment horizontal="right" vertical="center"/>
    </xf>
    <xf numFmtId="0" fontId="12" fillId="4" borderId="0">
      <alignment horizontal="justify"/>
    </xf>
    <xf numFmtId="0" fontId="13" fillId="5" borderId="0">
      <alignment horizontal="left" vertical="top"/>
    </xf>
    <xf numFmtId="0" fontId="12" fillId="0" borderId="0">
      <alignment horizontal="justify"/>
    </xf>
    <xf numFmtId="0" fontId="11" fillId="0" borderId="0">
      <alignment horizontal="left" vertical="top"/>
    </xf>
    <xf numFmtId="0" fontId="14" fillId="0" borderId="0">
      <alignment horizontal="center" vertical="center"/>
    </xf>
    <xf numFmtId="0" fontId="14" fillId="0" borderId="0">
      <alignment horizontal="justify" vertical="center"/>
    </xf>
    <xf numFmtId="0" fontId="9" fillId="0" borderId="0">
      <alignment horizontal="left" vertical="top"/>
    </xf>
    <xf numFmtId="0" fontId="15" fillId="5" borderId="0">
      <alignment horizontal="left" vertical="top"/>
    </xf>
    <xf numFmtId="0" fontId="13" fillId="0" borderId="0">
      <alignment horizontal="left" vertical="top"/>
    </xf>
    <xf numFmtId="0" fontId="7" fillId="0" borderId="0">
      <alignment horizontal="right" vertical="top"/>
    </xf>
    <xf numFmtId="0" fontId="10" fillId="3" borderId="0">
      <alignment horizontal="left" vertical="top"/>
    </xf>
    <xf numFmtId="43" fontId="1" fillId="0" borderId="0" applyFont="0" applyFill="0" applyBorder="0" applyAlignment="0" applyProtection="0"/>
    <xf numFmtId="0" fontId="5" fillId="3" borderId="0">
      <alignment horizontal="left" vertical="top"/>
    </xf>
    <xf numFmtId="0" fontId="5" fillId="0" borderId="0">
      <alignment horizontal="left" vertical="top"/>
    </xf>
    <xf numFmtId="0" fontId="10" fillId="3" borderId="0">
      <alignment horizontal="left" vertical="top"/>
    </xf>
    <xf numFmtId="0" fontId="7" fillId="0" borderId="0">
      <alignment horizontal="right" vertical="top"/>
    </xf>
    <xf numFmtId="0" fontId="16" fillId="0" borderId="0">
      <alignment horizontal="left" vertical="top" wrapText="1"/>
    </xf>
    <xf numFmtId="0" fontId="1" fillId="0" borderId="0"/>
    <xf numFmtId="0" fontId="17" fillId="0" borderId="0">
      <alignment horizontal="left" vertical="top" wrapText="1"/>
    </xf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" fontId="1" fillId="0" borderId="0" xfId="0" applyNumberFormat="1" applyFont="1"/>
    <xf numFmtId="0" fontId="4" fillId="2" borderId="0" xfId="0" applyFont="1" applyFill="1" applyAlignment="1">
      <alignment horizontal="right" vertical="center"/>
    </xf>
    <xf numFmtId="14" fontId="4" fillId="2" borderId="0" xfId="0" applyNumberFormat="1" applyFont="1" applyFill="1" applyAlignment="1">
      <alignment horizontal="right" vertical="center"/>
    </xf>
    <xf numFmtId="0" fontId="4" fillId="2" borderId="0" xfId="0" applyFont="1" applyFill="1" applyAlignment="1">
      <alignment vertical="center"/>
    </xf>
    <xf numFmtId="1" fontId="4" fillId="2" borderId="0" xfId="43" applyNumberFormat="1" applyFont="1" applyFill="1" applyBorder="1" applyAlignment="1">
      <alignment vertical="center"/>
    </xf>
    <xf numFmtId="4" fontId="4" fillId="2" borderId="0" xfId="0" applyNumberFormat="1" applyFont="1" applyFill="1" applyAlignment="1">
      <alignment horizontal="right" vertical="center"/>
    </xf>
    <xf numFmtId="0" fontId="0" fillId="2" borderId="0" xfId="0" applyFill="1" applyAlignment="1">
      <alignment vertical="center"/>
    </xf>
    <xf numFmtId="14" fontId="0" fillId="2" borderId="0" xfId="0" applyNumberFormat="1" applyFill="1" applyAlignment="1">
      <alignment vertical="center"/>
    </xf>
    <xf numFmtId="0" fontId="0" fillId="2" borderId="0" xfId="0" applyFill="1" applyAlignment="1">
      <alignment horizontal="left" vertical="center"/>
    </xf>
    <xf numFmtId="1" fontId="0" fillId="2" borderId="0" xfId="43" applyNumberFormat="1" applyFont="1" applyFill="1" applyBorder="1" applyAlignment="1">
      <alignment vertical="center"/>
    </xf>
    <xf numFmtId="4" fontId="0" fillId="2" borderId="0" xfId="0" applyNumberFormat="1" applyFill="1" applyAlignment="1">
      <alignment vertical="center"/>
    </xf>
    <xf numFmtId="0" fontId="2" fillId="2" borderId="0" xfId="0" applyFont="1" applyFill="1" applyAlignment="1">
      <alignment vertical="center"/>
    </xf>
    <xf numFmtId="14" fontId="2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1" fontId="2" fillId="2" borderId="0" xfId="43" applyNumberFormat="1" applyFont="1" applyFill="1" applyBorder="1" applyAlignment="1">
      <alignment vertical="center"/>
    </xf>
    <xf numFmtId="4" fontId="2" fillId="2" borderId="0" xfId="0" applyNumberFormat="1" applyFont="1" applyFill="1" applyAlignment="1">
      <alignment vertical="center"/>
    </xf>
    <xf numFmtId="4" fontId="4" fillId="0" borderId="0" xfId="0" applyNumberFormat="1" applyFont="1" applyAlignment="1">
      <alignment horizontal="right" vertical="center"/>
    </xf>
    <xf numFmtId="4" fontId="0" fillId="0" borderId="0" xfId="0" applyNumberFormat="1"/>
    <xf numFmtId="164" fontId="3" fillId="0" borderId="0" xfId="0" applyNumberFormat="1" applyFont="1" applyAlignment="1">
      <alignment horizontal="right"/>
    </xf>
    <xf numFmtId="4" fontId="2" fillId="0" borderId="0" xfId="0" applyNumberFormat="1" applyFont="1"/>
    <xf numFmtId="164" fontId="4" fillId="0" borderId="0" xfId="0" applyNumberFormat="1" applyFont="1" applyAlignment="1">
      <alignment horizontal="right"/>
    </xf>
    <xf numFmtId="4" fontId="4" fillId="2" borderId="0" xfId="0" applyNumberFormat="1" applyFont="1" applyFill="1" applyAlignment="1">
      <alignment horizontal="left" vertical="center"/>
    </xf>
  </cellXfs>
  <cellStyles count="51">
    <cellStyle name="Comma" xfId="43" builtinId="3"/>
    <cellStyle name="Normal" xfId="0" builtinId="0"/>
    <cellStyle name="Normal 2" xfId="49" xr:uid="{95F85BFF-ECCF-475B-98AB-62C6A687B360}"/>
    <cellStyle name="Normal 3" xfId="48" xr:uid="{2DA719B2-F0C0-425B-B5A1-561F98241BDF}"/>
    <cellStyle name="Normal 4" xfId="50" xr:uid="{49311872-B9F2-44C2-B6A6-6072E0C8A2DF}"/>
    <cellStyle name="S0" xfId="18" xr:uid="{C7B966A3-A83B-4A5F-9877-1B8F0197C170}"/>
    <cellStyle name="S1" xfId="19" xr:uid="{F63FB775-2225-48FA-B137-20A65447503C}"/>
    <cellStyle name="S10" xfId="5" xr:uid="{C3126133-DFBA-45CE-9B15-1C8AC8941ED2}"/>
    <cellStyle name="S11" xfId="15" xr:uid="{639527A2-61EF-4D1A-829A-CDC246503B4D}"/>
    <cellStyle name="S12" xfId="17" xr:uid="{2D573247-A205-48ED-AEBF-7C04A9F4C750}"/>
    <cellStyle name="S12 2" xfId="20" xr:uid="{8D2772E2-1471-45E8-ACE4-DD7D62EB6CFD}"/>
    <cellStyle name="S12 3" xfId="45" xr:uid="{A0D7A577-36D2-4DD6-BBE8-E958A9F2689C}"/>
    <cellStyle name="S13" xfId="21" xr:uid="{47ECF212-87FC-4742-AD98-BFFB50945038}"/>
    <cellStyle name="S14" xfId="22" xr:uid="{A1EA0EE2-E183-4208-9EDA-BEA963402BF3}"/>
    <cellStyle name="S15" xfId="23" xr:uid="{7A7B9349-C865-445A-A74C-5549CAEA101C}"/>
    <cellStyle name="S16" xfId="24" xr:uid="{8AC90DEA-FF1E-48C8-8AC0-727235682C5B}"/>
    <cellStyle name="S17" xfId="25" xr:uid="{554BD14B-88A6-40FC-96BC-FD1F703ADA4E}"/>
    <cellStyle name="S17 2" xfId="41" xr:uid="{61B7785F-90D1-4308-B32B-4B97DD092ED6}"/>
    <cellStyle name="S17 3" xfId="46" xr:uid="{873DCE0E-0510-43C8-BD19-4AB091C44C6C}"/>
    <cellStyle name="S18" xfId="26" xr:uid="{3C7462E8-C91D-4C98-A8E9-DF4D3760A354}"/>
    <cellStyle name="S19" xfId="27" xr:uid="{879768F9-61ED-4E80-8FA2-6915E16B74DA}"/>
    <cellStyle name="S2" xfId="28" xr:uid="{48F47310-EC2A-47C6-8BAE-4CCCF61FE63F}"/>
    <cellStyle name="S20" xfId="29" xr:uid="{101E5CCA-C1BC-4E7B-AC58-A0B42318AD91}"/>
    <cellStyle name="S20 2" xfId="42" xr:uid="{EDFB0554-0E20-4040-8AAA-F59B7C51586B}"/>
    <cellStyle name="S20 3" xfId="47" xr:uid="{66675356-C0A2-419D-AB1D-7F431EEA82EA}"/>
    <cellStyle name="S21" xfId="30" xr:uid="{6ABDACDA-6B7B-42E2-91E4-4BBD9DFECA20}"/>
    <cellStyle name="S22" xfId="31" xr:uid="{BAE5D0F2-257A-4159-9892-012FFD0468A8}"/>
    <cellStyle name="S23" xfId="32" xr:uid="{A12ABC45-D6B5-4744-8541-A16279CCFC24}"/>
    <cellStyle name="S24" xfId="16" xr:uid="{A7D58103-7734-4012-86AF-E2E8FE1E3039}"/>
    <cellStyle name="S24 2" xfId="33" xr:uid="{653E1085-CF61-4443-8F42-2366A2941DB6}"/>
    <cellStyle name="S24 3" xfId="44" xr:uid="{A8A05020-3C2D-4F96-B10C-5AB2B108CA49}"/>
    <cellStyle name="S25" xfId="13" xr:uid="{CB4F2E7E-DCE9-4216-BDF6-CAF4F780D448}"/>
    <cellStyle name="S26" xfId="14" xr:uid="{EF6F73EE-41B8-4593-8F4A-C9BD4B0E8C60}"/>
    <cellStyle name="S27" xfId="10" xr:uid="{EA5375EB-ED11-4D03-8C84-49C46FBD44F9}"/>
    <cellStyle name="S28" xfId="11" xr:uid="{4BFBBE15-0E7D-4F55-8540-4FC2178CEF73}"/>
    <cellStyle name="S29" xfId="12" xr:uid="{F866E4F6-C191-42F0-96D8-DE21EDEE8BAC}"/>
    <cellStyle name="S3" xfId="34" xr:uid="{B8AA8A2C-D495-43D6-B465-02EA65B7D455}"/>
    <cellStyle name="S30" xfId="9" xr:uid="{496B32B6-7CC7-49C7-881F-15E12230CD70}"/>
    <cellStyle name="S31" xfId="2" xr:uid="{DCE60070-BA14-4221-B3A8-31BA060F7EB7}"/>
    <cellStyle name="S32" xfId="6" xr:uid="{20A5BCD6-123A-44FA-9F1C-28A41FE8CD99}"/>
    <cellStyle name="S33" xfId="7" xr:uid="{A656371A-21A1-485C-B03F-16B23E3A2FEC}"/>
    <cellStyle name="S34" xfId="8" xr:uid="{100B9CE2-F8B9-4559-BAE5-4195EDEC0AA1}"/>
    <cellStyle name="S35" xfId="35" xr:uid="{4DE26CA9-80BB-4A36-992B-BE2BA77B96A7}"/>
    <cellStyle name="S4" xfId="36" xr:uid="{ECC8146D-C3F7-4924-8326-3D0AFE44E165}"/>
    <cellStyle name="S5" xfId="37" xr:uid="{4CD68B53-1FF7-4DBF-B6F1-F13CA403D440}"/>
    <cellStyle name="S6" xfId="38" xr:uid="{D568E42E-EDE4-4B6A-8322-10FC2E6F4EC6}"/>
    <cellStyle name="S7" xfId="39" xr:uid="{FCD06757-7D70-449B-88CE-1B9329564271}"/>
    <cellStyle name="S8" xfId="40" xr:uid="{05CDC6D5-7214-4676-A534-3F3C3145826D}"/>
    <cellStyle name="S9" xfId="4" xr:uid="{AF8D8ED4-7ACE-42A8-A5E2-C494A728925F}"/>
    <cellStyle name="Standard 3 2" xfId="3" xr:uid="{C951CED8-19F2-4189-9AD5-745760715ACE}"/>
    <cellStyle name="Standard 5" xfId="1" xr:uid="{0356F7D6-0335-4ED0-8AC1-13E9CB777C90}"/>
  </cellStyles>
  <dxfs count="0"/>
  <tableStyles count="0" defaultTableStyle="TableStyleMedium2" defaultPivotStyle="PivotStyleLight16"/>
  <colors>
    <mruColors>
      <color rgb="FF00589A"/>
      <color rgb="FF00FF00"/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B2B38-4AA0-473D-AE20-9977B3C3E68E}">
  <sheetPr codeName="Sheet23"/>
  <dimension ref="A1:M201"/>
  <sheetViews>
    <sheetView showGridLines="0" tabSelected="1" zoomScaleNormal="100" workbookViewId="0"/>
  </sheetViews>
  <sheetFormatPr defaultColWidth="8.21875" defaultRowHeight="14.4" x14ac:dyDescent="0.3"/>
  <cols>
    <col min="1" max="1" width="10" style="1" bestFit="1" customWidth="1"/>
    <col min="2" max="2" width="10.5546875" style="1" bestFit="1" customWidth="1"/>
    <col min="3" max="3" width="19.21875" style="1" bestFit="1" customWidth="1"/>
    <col min="4" max="4" width="66.33203125" style="1" bestFit="1" customWidth="1"/>
    <col min="5" max="5" width="12" style="1" bestFit="1" customWidth="1"/>
    <col min="6" max="6" width="9" style="1" bestFit="1" customWidth="1"/>
    <col min="7" max="7" width="8" style="1" bestFit="1" customWidth="1"/>
    <col min="8" max="8" width="5.6640625" style="1" bestFit="1" customWidth="1"/>
    <col min="9" max="9" width="45" style="1" bestFit="1" customWidth="1"/>
    <col min="10" max="10" width="9.6640625" style="1" bestFit="1" customWidth="1"/>
    <col min="11" max="11" width="8.109375" style="1" bestFit="1" customWidth="1"/>
    <col min="12" max="12" width="12.21875" style="1" bestFit="1" customWidth="1"/>
    <col min="13" max="13" width="4.5546875" style="4" bestFit="1" customWidth="1"/>
    <col min="14" max="16384" width="8.21875" style="1"/>
  </cols>
  <sheetData>
    <row r="1" spans="1:13" s="3" customFormat="1" x14ac:dyDescent="0.3">
      <c r="A1" s="5" t="s">
        <v>2</v>
      </c>
      <c r="B1" s="6" t="s">
        <v>3</v>
      </c>
      <c r="C1" s="7" t="s">
        <v>4</v>
      </c>
      <c r="D1" s="7" t="s">
        <v>5</v>
      </c>
      <c r="E1" s="8" t="s">
        <v>1</v>
      </c>
      <c r="F1" s="9" t="s">
        <v>6</v>
      </c>
      <c r="G1" s="9" t="s">
        <v>7</v>
      </c>
      <c r="H1" s="9" t="s">
        <v>8</v>
      </c>
      <c r="I1" s="25" t="s">
        <v>251</v>
      </c>
      <c r="J1" s="20" t="s">
        <v>311</v>
      </c>
      <c r="K1" s="20" t="s">
        <v>312</v>
      </c>
      <c r="L1" s="20" t="s">
        <v>313</v>
      </c>
      <c r="M1" s="20" t="s">
        <v>0</v>
      </c>
    </row>
    <row r="2" spans="1:13" x14ac:dyDescent="0.3">
      <c r="A2" s="10">
        <v>3</v>
      </c>
      <c r="B2" s="11">
        <v>45658</v>
      </c>
      <c r="C2" s="12" t="s">
        <v>64</v>
      </c>
      <c r="D2" s="10" t="s">
        <v>18</v>
      </c>
      <c r="E2" s="13">
        <v>625</v>
      </c>
      <c r="F2" s="14">
        <v>50.783120346669911</v>
      </c>
      <c r="G2" s="14">
        <v>0</v>
      </c>
      <c r="H2" s="14">
        <v>0</v>
      </c>
      <c r="I2" s="14" t="s">
        <v>298</v>
      </c>
      <c r="J2" s="21">
        <f t="shared" ref="J2:J33" si="0">G2-F2</f>
        <v>-50.783120346669911</v>
      </c>
      <c r="K2" s="22">
        <f t="shared" ref="K2:K33" si="1">EOMONTH(B2,0)</f>
        <v>45688</v>
      </c>
      <c r="L2" s="22" t="s">
        <v>314</v>
      </c>
      <c r="M2" s="21"/>
    </row>
    <row r="3" spans="1:13" x14ac:dyDescent="0.3">
      <c r="A3" s="10">
        <v>4</v>
      </c>
      <c r="B3" s="11">
        <v>45658</v>
      </c>
      <c r="C3" s="12" t="s">
        <v>64</v>
      </c>
      <c r="D3" s="10" t="s">
        <v>16</v>
      </c>
      <c r="E3" s="13">
        <v>626</v>
      </c>
      <c r="F3" s="14">
        <v>18.606430986024524</v>
      </c>
      <c r="G3" s="14">
        <v>0</v>
      </c>
      <c r="H3" s="14">
        <v>0</v>
      </c>
      <c r="I3" s="14" t="s">
        <v>299</v>
      </c>
      <c r="J3" s="21">
        <f t="shared" si="0"/>
        <v>-18.606430986024524</v>
      </c>
      <c r="K3" s="22">
        <f t="shared" si="1"/>
        <v>45688</v>
      </c>
      <c r="L3" s="22" t="s">
        <v>314</v>
      </c>
      <c r="M3" s="21"/>
    </row>
    <row r="4" spans="1:13" x14ac:dyDescent="0.3">
      <c r="A4" s="10">
        <v>5</v>
      </c>
      <c r="B4" s="11">
        <v>45658</v>
      </c>
      <c r="C4" s="12" t="s">
        <v>64</v>
      </c>
      <c r="D4" s="10" t="s">
        <v>16</v>
      </c>
      <c r="E4" s="13">
        <v>626</v>
      </c>
      <c r="F4" s="14">
        <v>2.6514821334516316</v>
      </c>
      <c r="G4" s="14">
        <v>0</v>
      </c>
      <c r="H4" s="14">
        <v>0</v>
      </c>
      <c r="I4" s="14" t="s">
        <v>299</v>
      </c>
      <c r="J4" s="21">
        <f t="shared" si="0"/>
        <v>-2.6514821334516316</v>
      </c>
      <c r="K4" s="22">
        <f t="shared" si="1"/>
        <v>45688</v>
      </c>
      <c r="L4" s="22" t="s">
        <v>314</v>
      </c>
      <c r="M4" s="21"/>
    </row>
    <row r="5" spans="1:13" x14ac:dyDescent="0.3">
      <c r="A5" s="10">
        <v>6</v>
      </c>
      <c r="B5" s="11">
        <v>45658</v>
      </c>
      <c r="C5" s="12" t="s">
        <v>64</v>
      </c>
      <c r="D5" s="10" t="s">
        <v>22</v>
      </c>
      <c r="E5" s="13">
        <v>626</v>
      </c>
      <c r="F5" s="14">
        <v>-5.9725718711545541</v>
      </c>
      <c r="G5" s="14">
        <v>0</v>
      </c>
      <c r="H5" s="14">
        <v>0</v>
      </c>
      <c r="I5" s="14" t="s">
        <v>299</v>
      </c>
      <c r="J5" s="21">
        <f t="shared" si="0"/>
        <v>5.9725718711545541</v>
      </c>
      <c r="K5" s="22">
        <f t="shared" si="1"/>
        <v>45688</v>
      </c>
      <c r="L5" s="22" t="s">
        <v>314</v>
      </c>
      <c r="M5" s="21"/>
    </row>
    <row r="6" spans="1:13" x14ac:dyDescent="0.3">
      <c r="A6" s="10">
        <v>7</v>
      </c>
      <c r="B6" s="11">
        <v>45658</v>
      </c>
      <c r="C6" s="12" t="s">
        <v>64</v>
      </c>
      <c r="D6" s="10" t="s">
        <v>22</v>
      </c>
      <c r="E6" s="13">
        <v>626</v>
      </c>
      <c r="F6" s="14">
        <v>-15.647896523537613</v>
      </c>
      <c r="G6" s="14">
        <v>0</v>
      </c>
      <c r="H6" s="14">
        <v>0</v>
      </c>
      <c r="I6" s="14" t="s">
        <v>299</v>
      </c>
      <c r="J6" s="21">
        <f t="shared" si="0"/>
        <v>15.647896523537613</v>
      </c>
      <c r="K6" s="22">
        <f t="shared" si="1"/>
        <v>45688</v>
      </c>
      <c r="L6" s="22" t="s">
        <v>314</v>
      </c>
      <c r="M6" s="21"/>
    </row>
    <row r="7" spans="1:13" x14ac:dyDescent="0.3">
      <c r="A7" s="10">
        <v>8</v>
      </c>
      <c r="B7" s="11">
        <v>45658</v>
      </c>
      <c r="C7" s="12" t="s">
        <v>256</v>
      </c>
      <c r="D7" s="10" t="s">
        <v>26</v>
      </c>
      <c r="E7" s="13">
        <v>62900000000</v>
      </c>
      <c r="F7" s="14">
        <v>7.2971822393890582</v>
      </c>
      <c r="G7" s="14">
        <v>0</v>
      </c>
      <c r="H7" s="14">
        <v>0</v>
      </c>
      <c r="I7" s="14" t="s">
        <v>301</v>
      </c>
      <c r="J7" s="21">
        <f t="shared" si="0"/>
        <v>-7.2971822393890582</v>
      </c>
      <c r="K7" s="22">
        <f t="shared" si="1"/>
        <v>45688</v>
      </c>
      <c r="L7" s="22" t="s">
        <v>314</v>
      </c>
      <c r="M7" s="21"/>
    </row>
    <row r="8" spans="1:13" x14ac:dyDescent="0.3">
      <c r="A8" s="10">
        <v>9</v>
      </c>
      <c r="B8" s="11">
        <v>45658</v>
      </c>
      <c r="C8" s="12" t="s">
        <v>270</v>
      </c>
      <c r="D8" s="10" t="s">
        <v>27</v>
      </c>
      <c r="E8" s="13">
        <v>62900000000</v>
      </c>
      <c r="F8" s="14">
        <v>19.322695534337573</v>
      </c>
      <c r="G8" s="14">
        <v>0</v>
      </c>
      <c r="H8" s="14">
        <v>0</v>
      </c>
      <c r="I8" s="14" t="s">
        <v>301</v>
      </c>
      <c r="J8" s="21">
        <f t="shared" si="0"/>
        <v>-19.322695534337573</v>
      </c>
      <c r="K8" s="22">
        <f t="shared" si="1"/>
        <v>45688</v>
      </c>
      <c r="L8" s="22" t="s">
        <v>315</v>
      </c>
      <c r="M8" s="21"/>
    </row>
    <row r="9" spans="1:13" x14ac:dyDescent="0.3">
      <c r="A9" s="10">
        <v>10</v>
      </c>
      <c r="B9" s="11">
        <v>45658</v>
      </c>
      <c r="C9" s="12" t="s">
        <v>271</v>
      </c>
      <c r="D9" s="10" t="s">
        <v>28</v>
      </c>
      <c r="E9" s="13">
        <v>62900000000</v>
      </c>
      <c r="F9" s="14">
        <v>3.6589555917782466</v>
      </c>
      <c r="G9" s="14">
        <v>0</v>
      </c>
      <c r="H9" s="14">
        <v>0</v>
      </c>
      <c r="I9" s="14" t="s">
        <v>301</v>
      </c>
      <c r="J9" s="21">
        <f t="shared" si="0"/>
        <v>-3.6589555917782466</v>
      </c>
      <c r="K9" s="22">
        <f t="shared" si="1"/>
        <v>45688</v>
      </c>
      <c r="L9" s="22" t="s">
        <v>315</v>
      </c>
      <c r="M9" s="21"/>
    </row>
    <row r="10" spans="1:13" x14ac:dyDescent="0.3">
      <c r="A10" s="10">
        <v>11</v>
      </c>
      <c r="B10" s="11">
        <v>45659</v>
      </c>
      <c r="C10" s="12" t="s">
        <v>69</v>
      </c>
      <c r="D10" s="10" t="s">
        <v>21</v>
      </c>
      <c r="E10" s="13">
        <v>621</v>
      </c>
      <c r="F10" s="14">
        <v>1243.4385729522189</v>
      </c>
      <c r="G10" s="14">
        <v>0</v>
      </c>
      <c r="H10" s="14">
        <v>0</v>
      </c>
      <c r="I10" s="14" t="s">
        <v>296</v>
      </c>
      <c r="J10" s="21">
        <f t="shared" si="0"/>
        <v>-1243.4385729522189</v>
      </c>
      <c r="K10" s="22">
        <f t="shared" si="1"/>
        <v>45688</v>
      </c>
      <c r="L10" s="22" t="s">
        <v>314</v>
      </c>
      <c r="M10" s="21"/>
    </row>
    <row r="11" spans="1:13" x14ac:dyDescent="0.3">
      <c r="A11" s="10">
        <v>12</v>
      </c>
      <c r="B11" s="11">
        <v>45664</v>
      </c>
      <c r="C11" s="12" t="s">
        <v>180</v>
      </c>
      <c r="D11" s="10" t="s">
        <v>30</v>
      </c>
      <c r="E11" s="13">
        <v>62900000000</v>
      </c>
      <c r="F11" s="14">
        <v>15.910574685488314</v>
      </c>
      <c r="G11" s="14">
        <v>0</v>
      </c>
      <c r="H11" s="14">
        <v>0</v>
      </c>
      <c r="I11" s="14" t="s">
        <v>301</v>
      </c>
      <c r="J11" s="21">
        <f t="shared" si="0"/>
        <v>-15.910574685488314</v>
      </c>
      <c r="K11" s="22">
        <f t="shared" si="1"/>
        <v>45688</v>
      </c>
      <c r="L11" s="22" t="s">
        <v>316</v>
      </c>
      <c r="M11" s="21"/>
    </row>
    <row r="12" spans="1:13" x14ac:dyDescent="0.3">
      <c r="A12" s="10">
        <v>15</v>
      </c>
      <c r="B12" s="11">
        <v>45662</v>
      </c>
      <c r="C12" s="12" t="s">
        <v>69</v>
      </c>
      <c r="D12" s="10" t="s">
        <v>29</v>
      </c>
      <c r="E12" s="13">
        <v>62900000000</v>
      </c>
      <c r="F12" s="14">
        <v>82.003868457021781</v>
      </c>
      <c r="G12" s="14">
        <v>0</v>
      </c>
      <c r="H12" s="14">
        <v>0</v>
      </c>
      <c r="I12" s="14" t="s">
        <v>301</v>
      </c>
      <c r="J12" s="21">
        <f t="shared" si="0"/>
        <v>-82.003868457021781</v>
      </c>
      <c r="K12" s="22">
        <f t="shared" si="1"/>
        <v>45688</v>
      </c>
      <c r="L12" s="22" t="s">
        <v>317</v>
      </c>
      <c r="M12" s="21"/>
    </row>
    <row r="13" spans="1:13" x14ac:dyDescent="0.3">
      <c r="A13" s="10">
        <v>16</v>
      </c>
      <c r="B13" s="11">
        <v>45672</v>
      </c>
      <c r="C13" s="12" t="s">
        <v>257</v>
      </c>
      <c r="D13" s="10" t="s">
        <v>31</v>
      </c>
      <c r="E13" s="13">
        <v>62900000000</v>
      </c>
      <c r="F13" s="14">
        <v>0.79762485362523949</v>
      </c>
      <c r="G13" s="14">
        <v>0</v>
      </c>
      <c r="H13" s="14">
        <v>0</v>
      </c>
      <c r="I13" s="14" t="s">
        <v>301</v>
      </c>
      <c r="J13" s="21">
        <f t="shared" si="0"/>
        <v>-0.79762485362523949</v>
      </c>
      <c r="K13" s="22">
        <f t="shared" si="1"/>
        <v>45688</v>
      </c>
      <c r="L13" s="22" t="s">
        <v>316</v>
      </c>
      <c r="M13" s="21"/>
    </row>
    <row r="14" spans="1:13" x14ac:dyDescent="0.3">
      <c r="A14" s="10">
        <v>19</v>
      </c>
      <c r="B14" s="11">
        <v>45675</v>
      </c>
      <c r="C14" s="12" t="s">
        <v>282</v>
      </c>
      <c r="D14" s="10" t="s">
        <v>32</v>
      </c>
      <c r="E14" s="13">
        <v>62900000000</v>
      </c>
      <c r="F14" s="14">
        <v>70.492229712519887</v>
      </c>
      <c r="G14" s="14">
        <v>0</v>
      </c>
      <c r="H14" s="14">
        <v>0</v>
      </c>
      <c r="I14" s="14" t="s">
        <v>301</v>
      </c>
      <c r="J14" s="21">
        <f t="shared" si="0"/>
        <v>-70.492229712519887</v>
      </c>
      <c r="K14" s="22">
        <f t="shared" si="1"/>
        <v>45688</v>
      </c>
      <c r="L14" s="22" t="s">
        <v>316</v>
      </c>
      <c r="M14" s="21"/>
    </row>
    <row r="15" spans="1:13" x14ac:dyDescent="0.3">
      <c r="A15" s="10">
        <v>21</v>
      </c>
      <c r="B15" s="11">
        <v>45676</v>
      </c>
      <c r="C15" s="12" t="s">
        <v>9</v>
      </c>
      <c r="D15" s="10" t="s">
        <v>19</v>
      </c>
      <c r="E15" s="13">
        <v>62900000000</v>
      </c>
      <c r="F15" s="14">
        <v>16.433389051860235</v>
      </c>
      <c r="G15" s="14">
        <v>0</v>
      </c>
      <c r="H15" s="14">
        <v>0</v>
      </c>
      <c r="I15" s="14" t="s">
        <v>301</v>
      </c>
      <c r="J15" s="21">
        <f t="shared" si="0"/>
        <v>-16.433389051860235</v>
      </c>
      <c r="K15" s="22">
        <f t="shared" si="1"/>
        <v>45688</v>
      </c>
      <c r="L15" s="22" t="s">
        <v>314</v>
      </c>
      <c r="M15" s="21"/>
    </row>
    <row r="16" spans="1:13" x14ac:dyDescent="0.3">
      <c r="A16" s="10">
        <v>22</v>
      </c>
      <c r="B16" s="11">
        <v>45676</v>
      </c>
      <c r="C16" s="12" t="s">
        <v>255</v>
      </c>
      <c r="D16" s="10" t="s">
        <v>33</v>
      </c>
      <c r="E16" s="13">
        <v>62900000000</v>
      </c>
      <c r="F16" s="14">
        <v>4.1230624240507172</v>
      </c>
      <c r="G16" s="14">
        <v>0</v>
      </c>
      <c r="H16" s="14">
        <v>0</v>
      </c>
      <c r="I16" s="14" t="s">
        <v>301</v>
      </c>
      <c r="J16" s="21">
        <f t="shared" si="0"/>
        <v>-4.1230624240507172</v>
      </c>
      <c r="K16" s="22">
        <f t="shared" si="1"/>
        <v>45688</v>
      </c>
      <c r="L16" s="22" t="s">
        <v>314</v>
      </c>
      <c r="M16" s="21"/>
    </row>
    <row r="17" spans="1:13" x14ac:dyDescent="0.3">
      <c r="A17" s="10">
        <v>23</v>
      </c>
      <c r="B17" s="11">
        <v>45682</v>
      </c>
      <c r="C17" s="12" t="s">
        <v>20</v>
      </c>
      <c r="D17" s="10" t="s">
        <v>34</v>
      </c>
      <c r="E17" s="13">
        <v>62900000000</v>
      </c>
      <c r="F17" s="14">
        <v>2.0584472344485527</v>
      </c>
      <c r="G17" s="14">
        <v>0</v>
      </c>
      <c r="H17" s="14">
        <v>0</v>
      </c>
      <c r="I17" s="14" t="s">
        <v>301</v>
      </c>
      <c r="J17" s="21">
        <f t="shared" si="0"/>
        <v>-2.0584472344485527</v>
      </c>
      <c r="K17" s="22">
        <f t="shared" si="1"/>
        <v>45688</v>
      </c>
      <c r="L17" s="22" t="s">
        <v>316</v>
      </c>
      <c r="M17" s="21"/>
    </row>
    <row r="18" spans="1:13" x14ac:dyDescent="0.3">
      <c r="A18" s="10">
        <v>24</v>
      </c>
      <c r="B18" s="11">
        <v>45683</v>
      </c>
      <c r="C18" s="12" t="s">
        <v>278</v>
      </c>
      <c r="D18" s="10" t="s">
        <v>35</v>
      </c>
      <c r="E18" s="13">
        <v>62900000000</v>
      </c>
      <c r="F18" s="14">
        <v>6.797641231546673</v>
      </c>
      <c r="G18" s="14">
        <v>0</v>
      </c>
      <c r="H18" s="14">
        <v>0</v>
      </c>
      <c r="I18" s="14" t="s">
        <v>301</v>
      </c>
      <c r="J18" s="21">
        <f t="shared" si="0"/>
        <v>-6.797641231546673</v>
      </c>
      <c r="K18" s="22">
        <f t="shared" si="1"/>
        <v>45688</v>
      </c>
      <c r="L18" s="22" t="s">
        <v>314</v>
      </c>
      <c r="M18" s="21"/>
    </row>
    <row r="19" spans="1:13" x14ac:dyDescent="0.3">
      <c r="A19" s="10">
        <v>24</v>
      </c>
      <c r="B19" s="11">
        <v>45683</v>
      </c>
      <c r="C19" s="12" t="s">
        <v>278</v>
      </c>
      <c r="D19" s="10" t="s">
        <v>35</v>
      </c>
      <c r="E19" s="13">
        <v>62900000000</v>
      </c>
      <c r="F19" s="14">
        <v>97.607578341850413</v>
      </c>
      <c r="G19" s="14">
        <v>0</v>
      </c>
      <c r="H19" s="14">
        <v>0</v>
      </c>
      <c r="I19" s="14" t="s">
        <v>301</v>
      </c>
      <c r="J19" s="21">
        <f t="shared" si="0"/>
        <v>-97.607578341850413</v>
      </c>
      <c r="K19" s="22">
        <f t="shared" si="1"/>
        <v>45688</v>
      </c>
      <c r="L19" s="22" t="s">
        <v>314</v>
      </c>
      <c r="M19" s="21"/>
    </row>
    <row r="20" spans="1:13" x14ac:dyDescent="0.3">
      <c r="A20" s="10">
        <v>24</v>
      </c>
      <c r="B20" s="11">
        <v>45683</v>
      </c>
      <c r="C20" s="12" t="s">
        <v>278</v>
      </c>
      <c r="D20" s="10" t="s">
        <v>35</v>
      </c>
      <c r="E20" s="13">
        <v>62900000000</v>
      </c>
      <c r="F20" s="14">
        <v>1.3251156692052406</v>
      </c>
      <c r="G20" s="14">
        <v>0</v>
      </c>
      <c r="H20" s="14">
        <v>0</v>
      </c>
      <c r="I20" s="14" t="s">
        <v>301</v>
      </c>
      <c r="J20" s="21">
        <f t="shared" si="0"/>
        <v>-1.3251156692052406</v>
      </c>
      <c r="K20" s="22">
        <f t="shared" si="1"/>
        <v>45688</v>
      </c>
      <c r="L20" s="22" t="s">
        <v>314</v>
      </c>
      <c r="M20" s="21"/>
    </row>
    <row r="21" spans="1:13" x14ac:dyDescent="0.3">
      <c r="A21" s="10">
        <v>25</v>
      </c>
      <c r="B21" s="11">
        <v>45682</v>
      </c>
      <c r="C21" s="12" t="s">
        <v>69</v>
      </c>
      <c r="D21" s="10" t="s">
        <v>12</v>
      </c>
      <c r="E21" s="13">
        <v>70500000000</v>
      </c>
      <c r="F21" s="14">
        <v>0</v>
      </c>
      <c r="G21" s="14">
        <v>1894.9290776980652</v>
      </c>
      <c r="H21" s="14">
        <v>0</v>
      </c>
      <c r="I21" s="14" t="s">
        <v>307</v>
      </c>
      <c r="J21" s="21">
        <f t="shared" si="0"/>
        <v>1894.9290776980652</v>
      </c>
      <c r="K21" s="22">
        <f t="shared" si="1"/>
        <v>45688</v>
      </c>
      <c r="L21" s="22" t="s">
        <v>318</v>
      </c>
      <c r="M21" s="21"/>
    </row>
    <row r="22" spans="1:13" x14ac:dyDescent="0.3">
      <c r="A22" s="10">
        <v>26</v>
      </c>
      <c r="B22" s="11">
        <v>45682</v>
      </c>
      <c r="C22" s="12" t="s">
        <v>65</v>
      </c>
      <c r="D22" s="10" t="s">
        <v>13</v>
      </c>
      <c r="E22" s="13">
        <v>70500000000</v>
      </c>
      <c r="F22" s="14">
        <v>0</v>
      </c>
      <c r="G22" s="14">
        <v>2637.6854577752815</v>
      </c>
      <c r="H22" s="14">
        <v>0</v>
      </c>
      <c r="I22" s="14" t="s">
        <v>307</v>
      </c>
      <c r="J22" s="21">
        <f t="shared" si="0"/>
        <v>2637.6854577752815</v>
      </c>
      <c r="K22" s="22">
        <f t="shared" si="1"/>
        <v>45688</v>
      </c>
      <c r="L22" s="22" t="s">
        <v>318</v>
      </c>
      <c r="M22" s="21"/>
    </row>
    <row r="23" spans="1:13" x14ac:dyDescent="0.3">
      <c r="A23" s="10">
        <v>27</v>
      </c>
      <c r="B23" s="11">
        <v>45682</v>
      </c>
      <c r="C23" s="12" t="s">
        <v>88</v>
      </c>
      <c r="D23" s="10" t="s">
        <v>14</v>
      </c>
      <c r="E23" s="13">
        <v>70500000000</v>
      </c>
      <c r="F23" s="14">
        <v>0</v>
      </c>
      <c r="G23" s="14">
        <v>2262.8371278060445</v>
      </c>
      <c r="H23" s="14">
        <v>0</v>
      </c>
      <c r="I23" s="14" t="s">
        <v>307</v>
      </c>
      <c r="J23" s="21">
        <f t="shared" si="0"/>
        <v>2262.8371278060445</v>
      </c>
      <c r="K23" s="22">
        <f t="shared" si="1"/>
        <v>45688</v>
      </c>
      <c r="L23" s="22" t="s">
        <v>318</v>
      </c>
      <c r="M23" s="21"/>
    </row>
    <row r="24" spans="1:13" x14ac:dyDescent="0.3">
      <c r="A24" s="10">
        <v>28</v>
      </c>
      <c r="B24" s="11">
        <v>45682</v>
      </c>
      <c r="C24" s="12" t="s">
        <v>180</v>
      </c>
      <c r="D24" s="10" t="s">
        <v>46</v>
      </c>
      <c r="E24" s="13">
        <v>70500000000</v>
      </c>
      <c r="F24" s="14">
        <v>0</v>
      </c>
      <c r="G24" s="14">
        <v>371.62890653739413</v>
      </c>
      <c r="H24" s="14">
        <v>0</v>
      </c>
      <c r="I24" s="14" t="s">
        <v>307</v>
      </c>
      <c r="J24" s="21">
        <f t="shared" si="0"/>
        <v>371.62890653739413</v>
      </c>
      <c r="K24" s="22">
        <f t="shared" si="1"/>
        <v>45688</v>
      </c>
      <c r="L24" s="22" t="s">
        <v>318</v>
      </c>
      <c r="M24" s="21"/>
    </row>
    <row r="25" spans="1:13" x14ac:dyDescent="0.3">
      <c r="A25" s="10">
        <v>29</v>
      </c>
      <c r="B25" s="11">
        <v>45682</v>
      </c>
      <c r="C25" s="12" t="s">
        <v>154</v>
      </c>
      <c r="D25" s="10" t="s">
        <v>47</v>
      </c>
      <c r="E25" s="13">
        <v>70500000000</v>
      </c>
      <c r="F25" s="14">
        <v>0</v>
      </c>
      <c r="G25" s="14">
        <v>669.86107021867508</v>
      </c>
      <c r="H25" s="14">
        <v>0</v>
      </c>
      <c r="I25" s="14" t="s">
        <v>307</v>
      </c>
      <c r="J25" s="21">
        <f t="shared" si="0"/>
        <v>669.86107021867508</v>
      </c>
      <c r="K25" s="22">
        <f t="shared" si="1"/>
        <v>45688</v>
      </c>
      <c r="L25" s="22" t="s">
        <v>318</v>
      </c>
      <c r="M25" s="21"/>
    </row>
    <row r="26" spans="1:13" x14ac:dyDescent="0.3">
      <c r="A26" s="10">
        <v>30</v>
      </c>
      <c r="B26" s="11">
        <v>45682</v>
      </c>
      <c r="C26" s="12" t="s">
        <v>247</v>
      </c>
      <c r="D26" s="10" t="s">
        <v>48</v>
      </c>
      <c r="E26" s="13">
        <v>70500000000</v>
      </c>
      <c r="F26" s="14">
        <v>0</v>
      </c>
      <c r="G26" s="14">
        <v>1038.847393042631</v>
      </c>
      <c r="H26" s="14">
        <v>0</v>
      </c>
      <c r="I26" s="14" t="s">
        <v>307</v>
      </c>
      <c r="J26" s="21">
        <f t="shared" si="0"/>
        <v>1038.847393042631</v>
      </c>
      <c r="K26" s="22">
        <f t="shared" si="1"/>
        <v>45688</v>
      </c>
      <c r="L26" s="22" t="s">
        <v>318</v>
      </c>
      <c r="M26" s="21"/>
    </row>
    <row r="27" spans="1:13" x14ac:dyDescent="0.3">
      <c r="A27" s="10">
        <v>31</v>
      </c>
      <c r="B27" s="11">
        <v>45682</v>
      </c>
      <c r="C27" s="12" t="s">
        <v>248</v>
      </c>
      <c r="D27" s="10" t="s">
        <v>49</v>
      </c>
      <c r="E27" s="13">
        <v>70500000000</v>
      </c>
      <c r="F27" s="14">
        <v>0</v>
      </c>
      <c r="G27" s="14">
        <v>955.40271166230411</v>
      </c>
      <c r="H27" s="14">
        <v>0</v>
      </c>
      <c r="I27" s="14" t="s">
        <v>307</v>
      </c>
      <c r="J27" s="21">
        <f t="shared" si="0"/>
        <v>955.40271166230411</v>
      </c>
      <c r="K27" s="22">
        <f t="shared" si="1"/>
        <v>45688</v>
      </c>
      <c r="L27" s="22" t="s">
        <v>318</v>
      </c>
      <c r="M27" s="21"/>
    </row>
    <row r="28" spans="1:13" x14ac:dyDescent="0.3">
      <c r="A28" s="10">
        <v>32</v>
      </c>
      <c r="B28" s="11">
        <v>45682</v>
      </c>
      <c r="C28" s="12" t="s">
        <v>249</v>
      </c>
      <c r="D28" s="10" t="s">
        <v>50</v>
      </c>
      <c r="E28" s="13">
        <v>70500000000</v>
      </c>
      <c r="F28" s="14">
        <v>0</v>
      </c>
      <c r="G28" s="14">
        <v>2732.9847261702562</v>
      </c>
      <c r="H28" s="14">
        <v>0</v>
      </c>
      <c r="I28" s="14" t="s">
        <v>307</v>
      </c>
      <c r="J28" s="21">
        <f t="shared" si="0"/>
        <v>2732.9847261702562</v>
      </c>
      <c r="K28" s="22">
        <f t="shared" si="1"/>
        <v>45688</v>
      </c>
      <c r="L28" s="22" t="s">
        <v>318</v>
      </c>
      <c r="M28" s="21"/>
    </row>
    <row r="29" spans="1:13" x14ac:dyDescent="0.3">
      <c r="A29" s="10">
        <v>33</v>
      </c>
      <c r="B29" s="11">
        <v>45682</v>
      </c>
      <c r="C29" s="12" t="s">
        <v>67</v>
      </c>
      <c r="D29" s="10" t="s">
        <v>51</v>
      </c>
      <c r="E29" s="13">
        <v>70500000000</v>
      </c>
      <c r="F29" s="14">
        <v>0</v>
      </c>
      <c r="G29" s="14">
        <v>2959.314565235873</v>
      </c>
      <c r="H29" s="14">
        <v>0</v>
      </c>
      <c r="I29" s="14" t="s">
        <v>307</v>
      </c>
      <c r="J29" s="21">
        <f t="shared" si="0"/>
        <v>2959.314565235873</v>
      </c>
      <c r="K29" s="22">
        <f t="shared" si="1"/>
        <v>45688</v>
      </c>
      <c r="L29" s="22" t="s">
        <v>318</v>
      </c>
      <c r="M29" s="21"/>
    </row>
    <row r="30" spans="1:13" x14ac:dyDescent="0.3">
      <c r="A30" s="10">
        <v>34</v>
      </c>
      <c r="B30" s="11">
        <v>45682</v>
      </c>
      <c r="C30" s="12" t="s">
        <v>250</v>
      </c>
      <c r="D30" s="10" t="s">
        <v>52</v>
      </c>
      <c r="E30" s="13">
        <v>70500000000</v>
      </c>
      <c r="F30" s="14">
        <v>0</v>
      </c>
      <c r="G30" s="14">
        <v>3071.7968740718934</v>
      </c>
      <c r="H30" s="14">
        <v>0</v>
      </c>
      <c r="I30" s="14" t="s">
        <v>307</v>
      </c>
      <c r="J30" s="21">
        <f t="shared" si="0"/>
        <v>3071.7968740718934</v>
      </c>
      <c r="K30" s="22">
        <f t="shared" si="1"/>
        <v>45688</v>
      </c>
      <c r="L30" s="22" t="s">
        <v>318</v>
      </c>
      <c r="M30" s="21"/>
    </row>
    <row r="31" spans="1:13" x14ac:dyDescent="0.3">
      <c r="A31" s="10">
        <v>35</v>
      </c>
      <c r="B31" s="11">
        <v>45682</v>
      </c>
      <c r="C31" s="12" t="s">
        <v>157</v>
      </c>
      <c r="D31" s="10" t="s">
        <v>53</v>
      </c>
      <c r="E31" s="13">
        <v>70500000000</v>
      </c>
      <c r="F31" s="14">
        <v>0</v>
      </c>
      <c r="G31" s="14">
        <v>533.28580891772356</v>
      </c>
      <c r="H31" s="14">
        <v>0</v>
      </c>
      <c r="I31" s="14" t="s">
        <v>307</v>
      </c>
      <c r="J31" s="21">
        <f t="shared" si="0"/>
        <v>533.28580891772356</v>
      </c>
      <c r="K31" s="22">
        <f t="shared" si="1"/>
        <v>45688</v>
      </c>
      <c r="L31" s="22" t="s">
        <v>318</v>
      </c>
      <c r="M31" s="21"/>
    </row>
    <row r="32" spans="1:13" x14ac:dyDescent="0.3">
      <c r="A32" s="10">
        <v>36</v>
      </c>
      <c r="B32" s="11">
        <v>45682</v>
      </c>
      <c r="C32" s="12" t="s">
        <v>190</v>
      </c>
      <c r="D32" s="10" t="s">
        <v>54</v>
      </c>
      <c r="E32" s="13">
        <v>70500000000</v>
      </c>
      <c r="F32" s="14">
        <v>0</v>
      </c>
      <c r="G32" s="14">
        <v>1713.2687811577857</v>
      </c>
      <c r="H32" s="14">
        <v>0</v>
      </c>
      <c r="I32" s="14" t="s">
        <v>307</v>
      </c>
      <c r="J32" s="21">
        <f t="shared" si="0"/>
        <v>1713.2687811577857</v>
      </c>
      <c r="K32" s="22">
        <f t="shared" si="1"/>
        <v>45688</v>
      </c>
      <c r="L32" s="22" t="s">
        <v>318</v>
      </c>
      <c r="M32" s="21"/>
    </row>
    <row r="33" spans="1:13" x14ac:dyDescent="0.3">
      <c r="A33" s="10">
        <v>38</v>
      </c>
      <c r="B33" s="11">
        <v>45682</v>
      </c>
      <c r="C33" s="12" t="s">
        <v>289</v>
      </c>
      <c r="D33" s="10" t="s">
        <v>55</v>
      </c>
      <c r="E33" s="13">
        <v>70500000000</v>
      </c>
      <c r="F33" s="14">
        <v>0</v>
      </c>
      <c r="G33" s="14">
        <v>2358.0969967280912</v>
      </c>
      <c r="H33" s="14">
        <v>0</v>
      </c>
      <c r="I33" s="14" t="s">
        <v>307</v>
      </c>
      <c r="J33" s="21">
        <f t="shared" si="0"/>
        <v>2358.0969967280912</v>
      </c>
      <c r="K33" s="22">
        <f t="shared" si="1"/>
        <v>45688</v>
      </c>
      <c r="L33" s="22" t="s">
        <v>318</v>
      </c>
      <c r="M33" s="21"/>
    </row>
    <row r="34" spans="1:13" x14ac:dyDescent="0.3">
      <c r="A34" s="10">
        <v>39</v>
      </c>
      <c r="B34" s="11">
        <v>45682</v>
      </c>
      <c r="C34" s="12" t="s">
        <v>290</v>
      </c>
      <c r="D34" s="10" t="s">
        <v>56</v>
      </c>
      <c r="E34" s="13">
        <v>70500000000</v>
      </c>
      <c r="F34" s="14">
        <v>0</v>
      </c>
      <c r="G34" s="14">
        <v>3323.5282878377639</v>
      </c>
      <c r="H34" s="14">
        <v>0</v>
      </c>
      <c r="I34" s="14" t="s">
        <v>307</v>
      </c>
      <c r="J34" s="21">
        <f t="shared" ref="J34:J65" si="2">G34-F34</f>
        <v>3323.5282878377639</v>
      </c>
      <c r="K34" s="22">
        <f t="shared" ref="K34:K65" si="3">EOMONTH(B34,0)</f>
        <v>45688</v>
      </c>
      <c r="L34" s="22" t="s">
        <v>318</v>
      </c>
      <c r="M34" s="21"/>
    </row>
    <row r="35" spans="1:13" x14ac:dyDescent="0.3">
      <c r="A35" s="10">
        <v>41</v>
      </c>
      <c r="B35" s="11">
        <v>45682</v>
      </c>
      <c r="C35" s="12" t="s">
        <v>286</v>
      </c>
      <c r="D35" s="10" t="s">
        <v>57</v>
      </c>
      <c r="E35" s="13">
        <v>70500000000</v>
      </c>
      <c r="F35" s="14">
        <v>0</v>
      </c>
      <c r="G35" s="14">
        <v>2237.4184661667041</v>
      </c>
      <c r="H35" s="14">
        <v>0</v>
      </c>
      <c r="I35" s="14" t="s">
        <v>307</v>
      </c>
      <c r="J35" s="21">
        <f t="shared" si="2"/>
        <v>2237.4184661667041</v>
      </c>
      <c r="K35" s="22">
        <f t="shared" si="3"/>
        <v>45688</v>
      </c>
      <c r="L35" s="22" t="s">
        <v>318</v>
      </c>
      <c r="M35" s="21"/>
    </row>
    <row r="36" spans="1:13" x14ac:dyDescent="0.3">
      <c r="A36" s="10">
        <v>42</v>
      </c>
      <c r="B36" s="11">
        <v>45682</v>
      </c>
      <c r="C36" s="12" t="s">
        <v>295</v>
      </c>
      <c r="D36" s="10" t="s">
        <v>58</v>
      </c>
      <c r="E36" s="13">
        <v>70500000000</v>
      </c>
      <c r="F36" s="14">
        <v>0</v>
      </c>
      <c r="G36" s="14">
        <v>2338.5823551673352</v>
      </c>
      <c r="H36" s="14">
        <v>0</v>
      </c>
      <c r="I36" s="14" t="s">
        <v>307</v>
      </c>
      <c r="J36" s="21">
        <f t="shared" si="2"/>
        <v>2338.5823551673352</v>
      </c>
      <c r="K36" s="22">
        <f t="shared" si="3"/>
        <v>45688</v>
      </c>
      <c r="L36" s="22" t="s">
        <v>318</v>
      </c>
      <c r="M36" s="21"/>
    </row>
    <row r="37" spans="1:13" x14ac:dyDescent="0.3">
      <c r="A37" s="10">
        <v>43</v>
      </c>
      <c r="B37" s="11">
        <v>45682</v>
      </c>
      <c r="C37" s="12" t="s">
        <v>66</v>
      </c>
      <c r="D37" s="10" t="s">
        <v>59</v>
      </c>
      <c r="E37" s="13">
        <v>70500000000</v>
      </c>
      <c r="F37" s="14">
        <v>0</v>
      </c>
      <c r="G37" s="14">
        <v>3309.2598197137886</v>
      </c>
      <c r="H37" s="14">
        <v>0</v>
      </c>
      <c r="I37" s="14" t="s">
        <v>307</v>
      </c>
      <c r="J37" s="21">
        <f t="shared" si="2"/>
        <v>3309.2598197137886</v>
      </c>
      <c r="K37" s="22">
        <f t="shared" si="3"/>
        <v>45688</v>
      </c>
      <c r="L37" s="22" t="s">
        <v>318</v>
      </c>
      <c r="M37" s="21"/>
    </row>
    <row r="38" spans="1:13" x14ac:dyDescent="0.3">
      <c r="A38" s="10">
        <v>44</v>
      </c>
      <c r="B38" s="11">
        <v>45682</v>
      </c>
      <c r="C38" s="12" t="s">
        <v>288</v>
      </c>
      <c r="D38" s="10" t="s">
        <v>60</v>
      </c>
      <c r="E38" s="13">
        <v>70500000000</v>
      </c>
      <c r="F38" s="14">
        <v>0</v>
      </c>
      <c r="G38" s="14">
        <v>3271.5990108555138</v>
      </c>
      <c r="H38" s="14">
        <v>0</v>
      </c>
      <c r="I38" s="14" t="s">
        <v>307</v>
      </c>
      <c r="J38" s="21">
        <f t="shared" si="2"/>
        <v>3271.5990108555138</v>
      </c>
      <c r="K38" s="22">
        <f t="shared" si="3"/>
        <v>45688</v>
      </c>
      <c r="L38" s="22" t="s">
        <v>318</v>
      </c>
      <c r="M38" s="21"/>
    </row>
    <row r="39" spans="1:13" x14ac:dyDescent="0.3">
      <c r="A39" s="10">
        <v>45</v>
      </c>
      <c r="B39" s="11">
        <v>45682</v>
      </c>
      <c r="C39" s="12" t="s">
        <v>287</v>
      </c>
      <c r="D39" s="10" t="s">
        <v>61</v>
      </c>
      <c r="E39" s="13">
        <v>70500000000</v>
      </c>
      <c r="F39" s="14">
        <v>0</v>
      </c>
      <c r="G39" s="14">
        <v>1140.6696128400456</v>
      </c>
      <c r="H39" s="14">
        <v>0</v>
      </c>
      <c r="I39" s="14" t="s">
        <v>307</v>
      </c>
      <c r="J39" s="21">
        <f t="shared" si="2"/>
        <v>1140.6696128400456</v>
      </c>
      <c r="K39" s="22">
        <f t="shared" si="3"/>
        <v>45688</v>
      </c>
      <c r="L39" s="22" t="s">
        <v>318</v>
      </c>
      <c r="M39" s="21"/>
    </row>
    <row r="40" spans="1:13" x14ac:dyDescent="0.3">
      <c r="A40" s="10">
        <v>46</v>
      </c>
      <c r="B40" s="11">
        <v>45682</v>
      </c>
      <c r="C40" s="12" t="s">
        <v>294</v>
      </c>
      <c r="D40" s="10" t="s">
        <v>62</v>
      </c>
      <c r="E40" s="13">
        <v>70500000000</v>
      </c>
      <c r="F40" s="14">
        <v>0</v>
      </c>
      <c r="G40" s="14">
        <v>374.21778769006784</v>
      </c>
      <c r="H40" s="14">
        <v>0</v>
      </c>
      <c r="I40" s="14" t="s">
        <v>307</v>
      </c>
      <c r="J40" s="21">
        <f t="shared" si="2"/>
        <v>374.21778769006784</v>
      </c>
      <c r="K40" s="22">
        <f t="shared" si="3"/>
        <v>45688</v>
      </c>
      <c r="L40" s="22" t="s">
        <v>315</v>
      </c>
      <c r="M40" s="21"/>
    </row>
    <row r="41" spans="1:13" x14ac:dyDescent="0.3">
      <c r="A41" s="10">
        <v>47</v>
      </c>
      <c r="B41" s="11">
        <v>45672</v>
      </c>
      <c r="C41" s="12" t="s">
        <v>291</v>
      </c>
      <c r="D41" s="10" t="s">
        <v>63</v>
      </c>
      <c r="E41" s="13">
        <v>70500000001</v>
      </c>
      <c r="F41" s="14">
        <v>0</v>
      </c>
      <c r="G41" s="14">
        <v>4.8252209842736162</v>
      </c>
      <c r="H41" s="14">
        <v>0</v>
      </c>
      <c r="I41" s="14" t="s">
        <v>308</v>
      </c>
      <c r="J41" s="21">
        <f t="shared" si="2"/>
        <v>4.8252209842736162</v>
      </c>
      <c r="K41" s="22">
        <f t="shared" si="3"/>
        <v>45688</v>
      </c>
      <c r="L41" s="22" t="s">
        <v>315</v>
      </c>
      <c r="M41" s="21"/>
    </row>
    <row r="42" spans="1:13" x14ac:dyDescent="0.3">
      <c r="A42" s="10">
        <v>52</v>
      </c>
      <c r="B42" s="11">
        <v>45664</v>
      </c>
      <c r="C42" s="12" t="s">
        <v>64</v>
      </c>
      <c r="D42" s="10" t="s">
        <v>10</v>
      </c>
      <c r="E42" s="13">
        <v>668</v>
      </c>
      <c r="F42" s="14">
        <v>0.30930725342670329</v>
      </c>
      <c r="G42" s="14">
        <v>0</v>
      </c>
      <c r="H42" s="14">
        <v>0</v>
      </c>
      <c r="I42" s="14" t="s">
        <v>306</v>
      </c>
      <c r="J42" s="21">
        <f t="shared" si="2"/>
        <v>-0.30930725342670329</v>
      </c>
      <c r="K42" s="22">
        <f t="shared" si="3"/>
        <v>45688</v>
      </c>
      <c r="L42" s="22" t="s">
        <v>319</v>
      </c>
      <c r="M42" s="21"/>
    </row>
    <row r="43" spans="1:13" x14ac:dyDescent="0.3">
      <c r="A43" s="10">
        <v>70</v>
      </c>
      <c r="B43" s="11">
        <v>45672</v>
      </c>
      <c r="C43" s="12" t="s">
        <v>64</v>
      </c>
      <c r="D43" s="10" t="s">
        <v>10</v>
      </c>
      <c r="E43" s="13">
        <v>668</v>
      </c>
      <c r="F43" s="14">
        <v>0.42519423581365989</v>
      </c>
      <c r="G43" s="14">
        <v>0</v>
      </c>
      <c r="H43" s="14">
        <v>0</v>
      </c>
      <c r="I43" s="14" t="s">
        <v>306</v>
      </c>
      <c r="J43" s="21">
        <f t="shared" si="2"/>
        <v>-0.42519423581365989</v>
      </c>
      <c r="K43" s="22">
        <f t="shared" si="3"/>
        <v>45688</v>
      </c>
      <c r="L43" s="22" t="s">
        <v>319</v>
      </c>
      <c r="M43" s="21"/>
    </row>
    <row r="44" spans="1:13" x14ac:dyDescent="0.3">
      <c r="A44" s="10">
        <v>80</v>
      </c>
      <c r="B44" s="11">
        <v>45677</v>
      </c>
      <c r="C44" s="12" t="s">
        <v>64</v>
      </c>
      <c r="D44" s="10" t="s">
        <v>15</v>
      </c>
      <c r="E44" s="13">
        <v>626</v>
      </c>
      <c r="F44" s="14">
        <v>0</v>
      </c>
      <c r="G44" s="14">
        <v>57.600000947194083</v>
      </c>
      <c r="H44" s="14">
        <v>0</v>
      </c>
      <c r="I44" s="14" t="s">
        <v>299</v>
      </c>
      <c r="J44" s="21">
        <f t="shared" si="2"/>
        <v>57.600000947194083</v>
      </c>
      <c r="K44" s="22">
        <f t="shared" si="3"/>
        <v>45688</v>
      </c>
      <c r="L44" s="22" t="s">
        <v>314</v>
      </c>
      <c r="M44" s="21"/>
    </row>
    <row r="45" spans="1:13" x14ac:dyDescent="0.3">
      <c r="A45" s="10">
        <v>81</v>
      </c>
      <c r="B45" s="11">
        <v>45677</v>
      </c>
      <c r="C45" s="12" t="s">
        <v>64</v>
      </c>
      <c r="D45" s="10" t="s">
        <v>23</v>
      </c>
      <c r="E45" s="13">
        <v>626</v>
      </c>
      <c r="F45" s="14">
        <v>5.0519501018887132</v>
      </c>
      <c r="G45" s="14">
        <v>0</v>
      </c>
      <c r="H45" s="14">
        <v>0</v>
      </c>
      <c r="I45" s="14" t="s">
        <v>299</v>
      </c>
      <c r="J45" s="21">
        <f t="shared" si="2"/>
        <v>-5.0519501018887132</v>
      </c>
      <c r="K45" s="22">
        <f t="shared" si="3"/>
        <v>45688</v>
      </c>
      <c r="L45" s="22" t="s">
        <v>314</v>
      </c>
      <c r="M45" s="21"/>
    </row>
    <row r="46" spans="1:13" x14ac:dyDescent="0.3">
      <c r="A46" s="10">
        <v>82</v>
      </c>
      <c r="B46" s="11">
        <v>45677</v>
      </c>
      <c r="C46" s="12" t="s">
        <v>64</v>
      </c>
      <c r="D46" s="10" t="s">
        <v>24</v>
      </c>
      <c r="E46" s="13">
        <v>626</v>
      </c>
      <c r="F46" s="14">
        <v>12.86056993631159</v>
      </c>
      <c r="G46" s="14">
        <v>0</v>
      </c>
      <c r="H46" s="14">
        <v>0</v>
      </c>
      <c r="I46" s="14" t="s">
        <v>299</v>
      </c>
      <c r="J46" s="21">
        <f t="shared" si="2"/>
        <v>-12.86056993631159</v>
      </c>
      <c r="K46" s="22">
        <f t="shared" si="3"/>
        <v>45688</v>
      </c>
      <c r="L46" s="22" t="s">
        <v>314</v>
      </c>
      <c r="M46" s="21"/>
    </row>
    <row r="47" spans="1:13" x14ac:dyDescent="0.3">
      <c r="A47" s="10">
        <v>85</v>
      </c>
      <c r="B47" s="11">
        <v>45679</v>
      </c>
      <c r="C47" s="12" t="s">
        <v>64</v>
      </c>
      <c r="D47" s="10" t="s">
        <v>15</v>
      </c>
      <c r="E47" s="13">
        <v>626</v>
      </c>
      <c r="F47" s="14">
        <v>0</v>
      </c>
      <c r="G47" s="14">
        <v>31.280722774782465</v>
      </c>
      <c r="H47" s="14">
        <v>0</v>
      </c>
      <c r="I47" s="14" t="s">
        <v>299</v>
      </c>
      <c r="J47" s="21">
        <f t="shared" si="2"/>
        <v>31.280722774782465</v>
      </c>
      <c r="K47" s="22">
        <f t="shared" si="3"/>
        <v>45688</v>
      </c>
      <c r="L47" s="22" t="s">
        <v>314</v>
      </c>
      <c r="M47" s="21"/>
    </row>
    <row r="48" spans="1:13" x14ac:dyDescent="0.3">
      <c r="A48" s="10">
        <v>90</v>
      </c>
      <c r="B48" s="11">
        <v>45683</v>
      </c>
      <c r="C48" s="12" t="s">
        <v>64</v>
      </c>
      <c r="D48" s="10" t="s">
        <v>16</v>
      </c>
      <c r="E48" s="13">
        <v>626</v>
      </c>
      <c r="F48" s="14">
        <v>0.71130112309740523</v>
      </c>
      <c r="G48" s="14">
        <v>0</v>
      </c>
      <c r="H48" s="14">
        <v>0</v>
      </c>
      <c r="I48" s="14" t="s">
        <v>299</v>
      </c>
      <c r="J48" s="21">
        <f t="shared" si="2"/>
        <v>-0.71130112309740523</v>
      </c>
      <c r="K48" s="22">
        <f t="shared" si="3"/>
        <v>45688</v>
      </c>
      <c r="L48" s="22" t="s">
        <v>314</v>
      </c>
      <c r="M48" s="21"/>
    </row>
    <row r="49" spans="1:13" x14ac:dyDescent="0.3">
      <c r="A49" s="10">
        <v>91</v>
      </c>
      <c r="B49" s="11">
        <v>45683</v>
      </c>
      <c r="C49" s="12" t="s">
        <v>64</v>
      </c>
      <c r="D49" s="10" t="s">
        <v>16</v>
      </c>
      <c r="E49" s="13">
        <v>626</v>
      </c>
      <c r="F49" s="14">
        <v>22.34971948792354</v>
      </c>
      <c r="G49" s="14">
        <v>0</v>
      </c>
      <c r="H49" s="14">
        <v>0</v>
      </c>
      <c r="I49" s="14" t="s">
        <v>299</v>
      </c>
      <c r="J49" s="21">
        <f t="shared" si="2"/>
        <v>-22.34971948792354</v>
      </c>
      <c r="K49" s="22">
        <f t="shared" si="3"/>
        <v>45688</v>
      </c>
      <c r="L49" s="22" t="s">
        <v>314</v>
      </c>
      <c r="M49" s="21"/>
    </row>
    <row r="50" spans="1:13" x14ac:dyDescent="0.3">
      <c r="A50" s="10">
        <v>95</v>
      </c>
      <c r="B50" s="11">
        <v>45686</v>
      </c>
      <c r="C50" s="12" t="s">
        <v>17</v>
      </c>
      <c r="D50" s="10" t="s">
        <v>11</v>
      </c>
      <c r="E50" s="13">
        <v>626</v>
      </c>
      <c r="F50" s="14">
        <v>0</v>
      </c>
      <c r="G50" s="14">
        <v>1.9056361078155726E-2</v>
      </c>
      <c r="H50" s="14">
        <v>0</v>
      </c>
      <c r="I50" s="14" t="s">
        <v>299</v>
      </c>
      <c r="J50" s="21">
        <f t="shared" si="2"/>
        <v>1.9056361078155726E-2</v>
      </c>
      <c r="K50" s="22">
        <f t="shared" si="3"/>
        <v>45688</v>
      </c>
      <c r="L50" s="22" t="s">
        <v>314</v>
      </c>
      <c r="M50" s="21"/>
    </row>
    <row r="51" spans="1:13" x14ac:dyDescent="0.3">
      <c r="A51" s="10">
        <v>97</v>
      </c>
      <c r="B51" s="11">
        <v>45686</v>
      </c>
      <c r="C51" s="12" t="s">
        <v>64</v>
      </c>
      <c r="D51" s="10" t="s">
        <v>16</v>
      </c>
      <c r="E51" s="13">
        <v>626</v>
      </c>
      <c r="F51" s="14">
        <v>0.26504213061588672</v>
      </c>
      <c r="G51" s="14">
        <v>0</v>
      </c>
      <c r="H51" s="14">
        <v>0</v>
      </c>
      <c r="I51" s="14" t="s">
        <v>299</v>
      </c>
      <c r="J51" s="21">
        <f t="shared" si="2"/>
        <v>-0.26504213061588672</v>
      </c>
      <c r="K51" s="22">
        <f t="shared" si="3"/>
        <v>45688</v>
      </c>
      <c r="L51" s="22" t="s">
        <v>314</v>
      </c>
      <c r="M51" s="21"/>
    </row>
    <row r="52" spans="1:13" x14ac:dyDescent="0.3">
      <c r="A52" s="10">
        <v>98</v>
      </c>
      <c r="B52" s="11">
        <v>45686</v>
      </c>
      <c r="C52" s="12" t="s">
        <v>64</v>
      </c>
      <c r="D52" s="10" t="s">
        <v>16</v>
      </c>
      <c r="E52" s="13">
        <v>626</v>
      </c>
      <c r="F52" s="14">
        <v>6.5187467490852136</v>
      </c>
      <c r="G52" s="14">
        <v>0</v>
      </c>
      <c r="H52" s="14">
        <v>0</v>
      </c>
      <c r="I52" s="14" t="s">
        <v>299</v>
      </c>
      <c r="J52" s="21">
        <f t="shared" si="2"/>
        <v>-6.5187467490852136</v>
      </c>
      <c r="K52" s="22">
        <f t="shared" si="3"/>
        <v>45688</v>
      </c>
      <c r="L52" s="22" t="s">
        <v>314</v>
      </c>
      <c r="M52" s="21"/>
    </row>
    <row r="53" spans="1:13" x14ac:dyDescent="0.3">
      <c r="A53" s="10">
        <v>101</v>
      </c>
      <c r="B53" s="11">
        <v>45688</v>
      </c>
      <c r="C53" s="12" t="s">
        <v>64</v>
      </c>
      <c r="D53" s="10" t="s">
        <v>25</v>
      </c>
      <c r="E53" s="13">
        <v>626</v>
      </c>
      <c r="F53" s="14">
        <v>1.3674053947862659</v>
      </c>
      <c r="G53" s="14">
        <v>0</v>
      </c>
      <c r="H53" s="14">
        <v>0</v>
      </c>
      <c r="I53" s="14" t="s">
        <v>299</v>
      </c>
      <c r="J53" s="21">
        <f t="shared" si="2"/>
        <v>-1.3674053947862659</v>
      </c>
      <c r="K53" s="22">
        <f t="shared" si="3"/>
        <v>45688</v>
      </c>
      <c r="L53" s="22" t="s">
        <v>314</v>
      </c>
      <c r="M53" s="21"/>
    </row>
    <row r="54" spans="1:13" x14ac:dyDescent="0.3">
      <c r="A54" s="10">
        <v>120</v>
      </c>
      <c r="B54" s="11">
        <v>45716</v>
      </c>
      <c r="C54" s="12" t="s">
        <v>44</v>
      </c>
      <c r="D54" s="10" t="s">
        <v>45</v>
      </c>
      <c r="E54" s="13">
        <v>640</v>
      </c>
      <c r="F54" s="14">
        <v>14640.123001102704</v>
      </c>
      <c r="G54" s="14">
        <v>0</v>
      </c>
      <c r="H54" s="14">
        <v>0</v>
      </c>
      <c r="I54" s="14" t="s">
        <v>303</v>
      </c>
      <c r="J54" s="21">
        <f t="shared" si="2"/>
        <v>-14640.123001102704</v>
      </c>
      <c r="K54" s="22">
        <f t="shared" si="3"/>
        <v>45716</v>
      </c>
      <c r="L54" s="22" t="s">
        <v>319</v>
      </c>
      <c r="M54" s="21"/>
    </row>
    <row r="55" spans="1:13" x14ac:dyDescent="0.3">
      <c r="A55" s="10">
        <v>120</v>
      </c>
      <c r="B55" s="11">
        <v>45688</v>
      </c>
      <c r="C55" s="12" t="s">
        <v>44</v>
      </c>
      <c r="D55" s="10" t="s">
        <v>45</v>
      </c>
      <c r="E55" s="13">
        <v>642</v>
      </c>
      <c r="F55" s="14">
        <v>3848.1767419950802</v>
      </c>
      <c r="G55" s="14">
        <v>0</v>
      </c>
      <c r="H55" s="14">
        <v>0</v>
      </c>
      <c r="I55" s="14" t="s">
        <v>304</v>
      </c>
      <c r="J55" s="21">
        <f t="shared" si="2"/>
        <v>-3848.1767419950802</v>
      </c>
      <c r="K55" s="22">
        <f t="shared" si="3"/>
        <v>45688</v>
      </c>
      <c r="L55" s="22" t="s">
        <v>319</v>
      </c>
      <c r="M55" s="21"/>
    </row>
    <row r="56" spans="1:13" x14ac:dyDescent="0.3">
      <c r="A56" s="10">
        <v>121</v>
      </c>
      <c r="B56" s="11">
        <v>45665</v>
      </c>
      <c r="C56" s="12" t="s">
        <v>9</v>
      </c>
      <c r="D56" s="10" t="s">
        <v>19</v>
      </c>
      <c r="E56" s="13">
        <v>62900000000</v>
      </c>
      <c r="F56" s="14">
        <v>40.229210181082763</v>
      </c>
      <c r="G56" s="14">
        <v>0</v>
      </c>
      <c r="H56" s="14">
        <v>0</v>
      </c>
      <c r="I56" s="14" t="s">
        <v>301</v>
      </c>
      <c r="J56" s="21">
        <f t="shared" si="2"/>
        <v>-40.229210181082763</v>
      </c>
      <c r="K56" s="22">
        <f t="shared" si="3"/>
        <v>45688</v>
      </c>
      <c r="L56" s="22" t="s">
        <v>314</v>
      </c>
      <c r="M56" s="21"/>
    </row>
    <row r="57" spans="1:13" x14ac:dyDescent="0.3">
      <c r="A57" s="10">
        <v>122</v>
      </c>
      <c r="B57" s="11">
        <v>45668</v>
      </c>
      <c r="C57" s="12" t="s">
        <v>223</v>
      </c>
      <c r="D57" s="10" t="s">
        <v>39</v>
      </c>
      <c r="E57" s="13">
        <v>62900000001</v>
      </c>
      <c r="F57" s="14">
        <v>10.983015433610456</v>
      </c>
      <c r="G57" s="14">
        <v>0</v>
      </c>
      <c r="H57" s="14">
        <v>0</v>
      </c>
      <c r="I57" s="14" t="s">
        <v>302</v>
      </c>
      <c r="J57" s="21">
        <f t="shared" si="2"/>
        <v>-10.983015433610456</v>
      </c>
      <c r="K57" s="22">
        <f t="shared" si="3"/>
        <v>45688</v>
      </c>
      <c r="L57" s="22" t="s">
        <v>316</v>
      </c>
      <c r="M57" s="21"/>
    </row>
    <row r="58" spans="1:13" x14ac:dyDescent="0.3">
      <c r="A58" s="10">
        <v>123</v>
      </c>
      <c r="B58" s="11">
        <v>45670</v>
      </c>
      <c r="C58" s="12" t="s">
        <v>274</v>
      </c>
      <c r="D58" s="10" t="s">
        <v>40</v>
      </c>
      <c r="E58" s="13">
        <v>62900000001</v>
      </c>
      <c r="F58" s="14">
        <v>81.197313608169608</v>
      </c>
      <c r="G58" s="14">
        <v>0</v>
      </c>
      <c r="H58" s="14">
        <v>0</v>
      </c>
      <c r="I58" s="14" t="s">
        <v>302</v>
      </c>
      <c r="J58" s="21">
        <f t="shared" si="2"/>
        <v>-81.197313608169608</v>
      </c>
      <c r="K58" s="22">
        <f t="shared" si="3"/>
        <v>45688</v>
      </c>
      <c r="L58" s="22" t="s">
        <v>316</v>
      </c>
      <c r="M58" s="21"/>
    </row>
    <row r="59" spans="1:13" x14ac:dyDescent="0.3">
      <c r="A59" s="10">
        <v>124</v>
      </c>
      <c r="B59" s="11">
        <v>45676</v>
      </c>
      <c r="C59" s="12" t="s">
        <v>275</v>
      </c>
      <c r="D59" s="10" t="s">
        <v>41</v>
      </c>
      <c r="E59" s="13">
        <v>62900000001</v>
      </c>
      <c r="F59" s="14">
        <v>127.71432750373175</v>
      </c>
      <c r="G59" s="14">
        <v>0</v>
      </c>
      <c r="H59" s="14">
        <v>0</v>
      </c>
      <c r="I59" s="14" t="s">
        <v>302</v>
      </c>
      <c r="J59" s="21">
        <f t="shared" si="2"/>
        <v>-127.71432750373175</v>
      </c>
      <c r="K59" s="22">
        <f t="shared" si="3"/>
        <v>45688</v>
      </c>
      <c r="L59" s="22" t="s">
        <v>316</v>
      </c>
      <c r="M59" s="21"/>
    </row>
    <row r="60" spans="1:13" x14ac:dyDescent="0.3">
      <c r="A60" s="10">
        <v>125</v>
      </c>
      <c r="B60" s="11">
        <v>45676</v>
      </c>
      <c r="C60" s="12" t="s">
        <v>276</v>
      </c>
      <c r="D60" s="10" t="s">
        <v>42</v>
      </c>
      <c r="E60" s="13">
        <v>62900000001</v>
      </c>
      <c r="F60" s="14">
        <v>10.323381831530781</v>
      </c>
      <c r="G60" s="14">
        <v>0</v>
      </c>
      <c r="H60" s="14">
        <v>0</v>
      </c>
      <c r="I60" s="14" t="s">
        <v>302</v>
      </c>
      <c r="J60" s="21">
        <f t="shared" si="2"/>
        <v>-10.323381831530781</v>
      </c>
      <c r="K60" s="22">
        <f t="shared" si="3"/>
        <v>45688</v>
      </c>
      <c r="L60" s="22" t="s">
        <v>316</v>
      </c>
      <c r="M60" s="21"/>
    </row>
    <row r="61" spans="1:13" x14ac:dyDescent="0.3">
      <c r="A61" s="10">
        <v>126</v>
      </c>
      <c r="B61" s="11">
        <v>45677</v>
      </c>
      <c r="C61" s="12" t="s">
        <v>285</v>
      </c>
      <c r="D61" s="10" t="s">
        <v>43</v>
      </c>
      <c r="E61" s="13">
        <v>62900000001</v>
      </c>
      <c r="F61" s="14">
        <v>38.276906428245105</v>
      </c>
      <c r="G61" s="14">
        <v>0</v>
      </c>
      <c r="H61" s="14">
        <v>0</v>
      </c>
      <c r="I61" s="14" t="s">
        <v>302</v>
      </c>
      <c r="J61" s="21">
        <f t="shared" si="2"/>
        <v>-38.276906428245105</v>
      </c>
      <c r="K61" s="22">
        <f t="shared" si="3"/>
        <v>45688</v>
      </c>
      <c r="L61" s="22" t="s">
        <v>316</v>
      </c>
      <c r="M61" s="21"/>
    </row>
    <row r="62" spans="1:13" x14ac:dyDescent="0.3">
      <c r="A62" s="10">
        <v>128</v>
      </c>
      <c r="B62" s="11">
        <v>45684</v>
      </c>
      <c r="C62" s="12" t="s">
        <v>264</v>
      </c>
      <c r="D62" s="10" t="s">
        <v>36</v>
      </c>
      <c r="E62" s="13">
        <v>62900000000</v>
      </c>
      <c r="F62" s="14">
        <v>7.4944964161268803</v>
      </c>
      <c r="G62" s="14">
        <v>0</v>
      </c>
      <c r="H62" s="14">
        <v>0</v>
      </c>
      <c r="I62" s="14" t="s">
        <v>301</v>
      </c>
      <c r="J62" s="21">
        <f t="shared" si="2"/>
        <v>-7.4944964161268803</v>
      </c>
      <c r="K62" s="22">
        <f t="shared" si="3"/>
        <v>45688</v>
      </c>
      <c r="L62" s="22" t="s">
        <v>317</v>
      </c>
      <c r="M62" s="21"/>
    </row>
    <row r="63" spans="1:13" x14ac:dyDescent="0.3">
      <c r="A63" s="10">
        <v>129</v>
      </c>
      <c r="B63" s="11">
        <v>45684</v>
      </c>
      <c r="C63" s="12" t="s">
        <v>265</v>
      </c>
      <c r="D63" s="10" t="s">
        <v>37</v>
      </c>
      <c r="E63" s="13">
        <v>62900000000</v>
      </c>
      <c r="F63" s="14">
        <v>16.741149049088456</v>
      </c>
      <c r="G63" s="14">
        <v>0</v>
      </c>
      <c r="H63" s="14">
        <v>0</v>
      </c>
      <c r="I63" s="14" t="s">
        <v>301</v>
      </c>
      <c r="J63" s="21">
        <f t="shared" si="2"/>
        <v>-16.741149049088456</v>
      </c>
      <c r="K63" s="22">
        <f t="shared" si="3"/>
        <v>45688</v>
      </c>
      <c r="L63" s="22" t="s">
        <v>317</v>
      </c>
      <c r="M63" s="21"/>
    </row>
    <row r="64" spans="1:13" x14ac:dyDescent="0.3">
      <c r="A64" s="10">
        <v>130</v>
      </c>
      <c r="B64" s="11">
        <v>45688</v>
      </c>
      <c r="C64" s="12" t="s">
        <v>252</v>
      </c>
      <c r="D64" s="10" t="s">
        <v>38</v>
      </c>
      <c r="E64" s="13">
        <v>62900000000</v>
      </c>
      <c r="F64" s="14">
        <v>733.91082490776137</v>
      </c>
      <c r="G64" s="14">
        <v>0</v>
      </c>
      <c r="H64" s="14">
        <v>0</v>
      </c>
      <c r="I64" s="14" t="s">
        <v>301</v>
      </c>
      <c r="J64" s="21">
        <f t="shared" si="2"/>
        <v>-733.91082490776137</v>
      </c>
      <c r="K64" s="22">
        <f t="shared" si="3"/>
        <v>45688</v>
      </c>
      <c r="L64" s="22" t="s">
        <v>314</v>
      </c>
      <c r="M64" s="21"/>
    </row>
    <row r="65" spans="1:13" x14ac:dyDescent="0.3">
      <c r="A65" s="10">
        <v>130</v>
      </c>
      <c r="B65" s="11">
        <v>45688</v>
      </c>
      <c r="C65" s="12" t="s">
        <v>252</v>
      </c>
      <c r="D65" s="10" t="s">
        <v>38</v>
      </c>
      <c r="E65" s="13">
        <v>62900000000</v>
      </c>
      <c r="F65" s="14">
        <v>75.184511464572907</v>
      </c>
      <c r="G65" s="14">
        <v>0</v>
      </c>
      <c r="H65" s="14">
        <v>0</v>
      </c>
      <c r="I65" s="14" t="s">
        <v>301</v>
      </c>
      <c r="J65" s="21">
        <f t="shared" si="2"/>
        <v>-75.184511464572907</v>
      </c>
      <c r="K65" s="22">
        <f t="shared" si="3"/>
        <v>45688</v>
      </c>
      <c r="L65" s="22" t="s">
        <v>314</v>
      </c>
      <c r="M65" s="21"/>
    </row>
    <row r="66" spans="1:13" x14ac:dyDescent="0.3">
      <c r="A66" s="10">
        <v>137</v>
      </c>
      <c r="B66" s="11">
        <v>45682</v>
      </c>
      <c r="C66" s="12" t="s">
        <v>71</v>
      </c>
      <c r="D66" s="10" t="s">
        <v>152</v>
      </c>
      <c r="E66" s="13">
        <v>70500000000</v>
      </c>
      <c r="F66" s="14">
        <v>0</v>
      </c>
      <c r="G66" s="14">
        <v>311.21578873464455</v>
      </c>
      <c r="H66" s="14">
        <v>0</v>
      </c>
      <c r="I66" s="14" t="s">
        <v>307</v>
      </c>
      <c r="J66" s="21">
        <f t="shared" ref="J66:J97" si="4">G66-F66</f>
        <v>311.21578873464455</v>
      </c>
      <c r="K66" s="22">
        <f t="shared" ref="K66:K97" si="5">EOMONTH(B66,0)</f>
        <v>45688</v>
      </c>
      <c r="L66" s="22" t="s">
        <v>318</v>
      </c>
      <c r="M66" s="21"/>
    </row>
    <row r="67" spans="1:13" x14ac:dyDescent="0.3">
      <c r="A67" s="10">
        <v>139</v>
      </c>
      <c r="B67" s="11">
        <v>45686</v>
      </c>
      <c r="C67" s="12" t="s">
        <v>70</v>
      </c>
      <c r="D67" s="10" t="s">
        <v>153</v>
      </c>
      <c r="E67" s="13">
        <v>62900000001</v>
      </c>
      <c r="F67" s="14">
        <v>32.364428970678254</v>
      </c>
      <c r="G67" s="14">
        <v>0</v>
      </c>
      <c r="H67" s="14">
        <v>0</v>
      </c>
      <c r="I67" s="14" t="s">
        <v>302</v>
      </c>
      <c r="J67" s="21">
        <f t="shared" si="4"/>
        <v>-32.364428970678254</v>
      </c>
      <c r="K67" s="22">
        <f t="shared" si="5"/>
        <v>45688</v>
      </c>
      <c r="L67" s="22" t="s">
        <v>314</v>
      </c>
      <c r="M67" s="21"/>
    </row>
    <row r="68" spans="1:13" x14ac:dyDescent="0.3">
      <c r="A68" s="10">
        <v>140</v>
      </c>
      <c r="B68" s="11">
        <v>45688</v>
      </c>
      <c r="C68" s="12" t="s">
        <v>65</v>
      </c>
      <c r="D68" s="10" t="s">
        <v>151</v>
      </c>
      <c r="E68" s="13">
        <v>62300</v>
      </c>
      <c r="F68" s="14">
        <v>129.42485372543723</v>
      </c>
      <c r="G68" s="14">
        <v>0</v>
      </c>
      <c r="H68" s="14">
        <v>0</v>
      </c>
      <c r="I68" s="14" t="s">
        <v>297</v>
      </c>
      <c r="J68" s="21">
        <f t="shared" si="4"/>
        <v>-129.42485372543723</v>
      </c>
      <c r="K68" s="22">
        <f t="shared" si="5"/>
        <v>45688</v>
      </c>
      <c r="L68" s="22" t="s">
        <v>317</v>
      </c>
      <c r="M68" s="21"/>
    </row>
    <row r="69" spans="1:13" x14ac:dyDescent="0.3">
      <c r="A69" s="10">
        <v>227</v>
      </c>
      <c r="B69" s="11">
        <v>45688</v>
      </c>
      <c r="C69" s="12" t="s">
        <v>260</v>
      </c>
      <c r="D69" s="10" t="s">
        <v>261</v>
      </c>
      <c r="E69" s="13">
        <v>62900000000</v>
      </c>
      <c r="F69" s="14">
        <v>56.505379872997651</v>
      </c>
      <c r="G69" s="14">
        <v>0</v>
      </c>
      <c r="H69" s="14">
        <v>0</v>
      </c>
      <c r="I69" s="14" t="s">
        <v>301</v>
      </c>
      <c r="J69" s="21">
        <f t="shared" si="4"/>
        <v>-56.505379872997651</v>
      </c>
      <c r="K69" s="22">
        <f t="shared" si="5"/>
        <v>45688</v>
      </c>
      <c r="L69" s="22" t="s">
        <v>316</v>
      </c>
      <c r="M69" s="21"/>
    </row>
    <row r="70" spans="1:13" x14ac:dyDescent="0.3">
      <c r="A70" s="10">
        <v>105</v>
      </c>
      <c r="B70" s="11">
        <v>45689</v>
      </c>
      <c r="C70" s="12" t="s">
        <v>64</v>
      </c>
      <c r="D70" s="10" t="s">
        <v>78</v>
      </c>
      <c r="E70" s="13">
        <v>625</v>
      </c>
      <c r="F70" s="14">
        <v>56.645415089738869</v>
      </c>
      <c r="G70" s="14">
        <v>0</v>
      </c>
      <c r="H70" s="14">
        <v>0</v>
      </c>
      <c r="I70" s="14" t="s">
        <v>298</v>
      </c>
      <c r="J70" s="21">
        <f t="shared" si="4"/>
        <v>-56.645415089738869</v>
      </c>
      <c r="K70" s="22">
        <f t="shared" si="5"/>
        <v>45716</v>
      </c>
      <c r="L70" s="22" t="s">
        <v>314</v>
      </c>
      <c r="M70" s="21"/>
    </row>
    <row r="71" spans="1:13" x14ac:dyDescent="0.3">
      <c r="A71" s="10">
        <v>107</v>
      </c>
      <c r="B71" s="11">
        <v>45690</v>
      </c>
      <c r="C71" s="12" t="s">
        <v>64</v>
      </c>
      <c r="D71" s="10" t="s">
        <v>16</v>
      </c>
      <c r="E71" s="13">
        <v>626</v>
      </c>
      <c r="F71" s="14">
        <v>3.7827722689924332</v>
      </c>
      <c r="G71" s="14">
        <v>0</v>
      </c>
      <c r="H71" s="14">
        <v>0</v>
      </c>
      <c r="I71" s="14" t="s">
        <v>299</v>
      </c>
      <c r="J71" s="21">
        <f t="shared" si="4"/>
        <v>-3.7827722689924332</v>
      </c>
      <c r="K71" s="22">
        <f t="shared" si="5"/>
        <v>45716</v>
      </c>
      <c r="L71" s="22" t="s">
        <v>314</v>
      </c>
      <c r="M71" s="21"/>
    </row>
    <row r="72" spans="1:13" x14ac:dyDescent="0.3">
      <c r="A72" s="10">
        <v>109</v>
      </c>
      <c r="B72" s="11">
        <v>45691</v>
      </c>
      <c r="C72" s="12" t="s">
        <v>64</v>
      </c>
      <c r="D72" s="10" t="s">
        <v>16</v>
      </c>
      <c r="E72" s="13">
        <v>626</v>
      </c>
      <c r="F72" s="14">
        <v>11.170902075780456</v>
      </c>
      <c r="G72" s="14">
        <v>0</v>
      </c>
      <c r="H72" s="14">
        <v>0</v>
      </c>
      <c r="I72" s="14" t="s">
        <v>299</v>
      </c>
      <c r="J72" s="21">
        <f t="shared" si="4"/>
        <v>-11.170902075780456</v>
      </c>
      <c r="K72" s="22">
        <f t="shared" si="5"/>
        <v>45716</v>
      </c>
      <c r="L72" s="22" t="s">
        <v>314</v>
      </c>
      <c r="M72" s="21"/>
    </row>
    <row r="73" spans="1:13" x14ac:dyDescent="0.3">
      <c r="A73" s="10">
        <v>110</v>
      </c>
      <c r="B73" s="11">
        <v>45691</v>
      </c>
      <c r="C73" s="12" t="s">
        <v>64</v>
      </c>
      <c r="D73" s="10" t="s">
        <v>22</v>
      </c>
      <c r="E73" s="13">
        <v>626</v>
      </c>
      <c r="F73" s="14">
        <v>0</v>
      </c>
      <c r="G73" s="14">
        <v>7.1204402000703411</v>
      </c>
      <c r="H73" s="14">
        <v>0</v>
      </c>
      <c r="I73" s="14" t="s">
        <v>299</v>
      </c>
      <c r="J73" s="21">
        <f t="shared" si="4"/>
        <v>7.1204402000703411</v>
      </c>
      <c r="K73" s="22">
        <f t="shared" si="5"/>
        <v>45716</v>
      </c>
      <c r="L73" s="22" t="s">
        <v>314</v>
      </c>
      <c r="M73" s="21"/>
    </row>
    <row r="74" spans="1:13" x14ac:dyDescent="0.3">
      <c r="A74" s="10">
        <v>112</v>
      </c>
      <c r="B74" s="11">
        <v>45691</v>
      </c>
      <c r="C74" s="12" t="s">
        <v>64</v>
      </c>
      <c r="D74" s="10" t="s">
        <v>15</v>
      </c>
      <c r="E74" s="13">
        <v>626</v>
      </c>
      <c r="F74" s="14">
        <v>0</v>
      </c>
      <c r="G74" s="14">
        <v>1.2931117011861424</v>
      </c>
      <c r="H74" s="14">
        <v>0</v>
      </c>
      <c r="I74" s="14" t="s">
        <v>299</v>
      </c>
      <c r="J74" s="21">
        <f t="shared" si="4"/>
        <v>1.2931117011861424</v>
      </c>
      <c r="K74" s="22">
        <f t="shared" si="5"/>
        <v>45716</v>
      </c>
      <c r="L74" s="22" t="s">
        <v>314</v>
      </c>
      <c r="M74" s="21"/>
    </row>
    <row r="75" spans="1:13" x14ac:dyDescent="0.3">
      <c r="A75" s="10">
        <v>131</v>
      </c>
      <c r="B75" s="11">
        <v>45693</v>
      </c>
      <c r="C75" s="12" t="s">
        <v>9</v>
      </c>
      <c r="D75" s="10" t="s">
        <v>19</v>
      </c>
      <c r="E75" s="13">
        <v>62900000000</v>
      </c>
      <c r="F75" s="14">
        <v>37.540259724539645</v>
      </c>
      <c r="G75" s="14">
        <v>0</v>
      </c>
      <c r="H75" s="14">
        <v>0</v>
      </c>
      <c r="I75" s="14" t="s">
        <v>301</v>
      </c>
      <c r="J75" s="21">
        <f t="shared" si="4"/>
        <v>-37.540259724539645</v>
      </c>
      <c r="K75" s="22">
        <f t="shared" si="5"/>
        <v>45716</v>
      </c>
      <c r="L75" s="22" t="s">
        <v>314</v>
      </c>
      <c r="M75" s="21"/>
    </row>
    <row r="76" spans="1:13" x14ac:dyDescent="0.3">
      <c r="A76" s="10">
        <v>132</v>
      </c>
      <c r="B76" s="11">
        <v>45689</v>
      </c>
      <c r="C76" s="12" t="s">
        <v>143</v>
      </c>
      <c r="D76" s="10" t="s">
        <v>144</v>
      </c>
      <c r="E76" s="13">
        <v>70500000002</v>
      </c>
      <c r="F76" s="14">
        <v>0</v>
      </c>
      <c r="G76" s="14">
        <v>306.2677444102402</v>
      </c>
      <c r="H76" s="14">
        <v>0</v>
      </c>
      <c r="I76" s="14" t="s">
        <v>309</v>
      </c>
      <c r="J76" s="21">
        <f t="shared" si="4"/>
        <v>306.2677444102402</v>
      </c>
      <c r="K76" s="22">
        <f t="shared" si="5"/>
        <v>45716</v>
      </c>
      <c r="L76" s="22" t="s">
        <v>320</v>
      </c>
      <c r="M76" s="21"/>
    </row>
    <row r="77" spans="1:13" x14ac:dyDescent="0.3">
      <c r="A77" s="10">
        <v>133</v>
      </c>
      <c r="B77" s="11">
        <v>45689</v>
      </c>
      <c r="C77" s="12" t="s">
        <v>82</v>
      </c>
      <c r="D77" s="10" t="s">
        <v>145</v>
      </c>
      <c r="E77" s="13">
        <v>70500000002</v>
      </c>
      <c r="F77" s="14">
        <v>0</v>
      </c>
      <c r="G77" s="14">
        <v>55.018679883278232</v>
      </c>
      <c r="H77" s="14">
        <v>0</v>
      </c>
      <c r="I77" s="14" t="s">
        <v>309</v>
      </c>
      <c r="J77" s="21">
        <f t="shared" si="4"/>
        <v>55.018679883278232</v>
      </c>
      <c r="K77" s="22">
        <f t="shared" si="5"/>
        <v>45716</v>
      </c>
      <c r="L77" s="22" t="s">
        <v>320</v>
      </c>
      <c r="M77" s="21"/>
    </row>
    <row r="78" spans="1:13" x14ac:dyDescent="0.3">
      <c r="A78" s="10">
        <v>134</v>
      </c>
      <c r="B78" s="11">
        <v>45689</v>
      </c>
      <c r="C78" s="12" t="s">
        <v>146</v>
      </c>
      <c r="D78" s="10" t="s">
        <v>147</v>
      </c>
      <c r="E78" s="13">
        <v>70500000002</v>
      </c>
      <c r="F78" s="14">
        <v>0</v>
      </c>
      <c r="G78" s="14">
        <v>133.60176246968348</v>
      </c>
      <c r="H78" s="14">
        <v>0</v>
      </c>
      <c r="I78" s="14" t="s">
        <v>309</v>
      </c>
      <c r="J78" s="21">
        <f t="shared" si="4"/>
        <v>133.60176246968348</v>
      </c>
      <c r="K78" s="22">
        <f t="shared" si="5"/>
        <v>45716</v>
      </c>
      <c r="L78" s="22" t="s">
        <v>320</v>
      </c>
      <c r="M78" s="21"/>
    </row>
    <row r="79" spans="1:13" x14ac:dyDescent="0.3">
      <c r="A79" s="10">
        <v>135</v>
      </c>
      <c r="B79" s="11">
        <v>45689</v>
      </c>
      <c r="C79" s="12" t="s">
        <v>148</v>
      </c>
      <c r="D79" s="10" t="s">
        <v>149</v>
      </c>
      <c r="E79" s="13">
        <v>70500000002</v>
      </c>
      <c r="F79" s="14">
        <v>0</v>
      </c>
      <c r="G79" s="14">
        <v>289.84707108195352</v>
      </c>
      <c r="H79" s="14">
        <v>0</v>
      </c>
      <c r="I79" s="14" t="s">
        <v>309</v>
      </c>
      <c r="J79" s="21">
        <f t="shared" si="4"/>
        <v>289.84707108195352</v>
      </c>
      <c r="K79" s="22">
        <f t="shared" si="5"/>
        <v>45716</v>
      </c>
      <c r="L79" s="22" t="s">
        <v>320</v>
      </c>
      <c r="M79" s="21"/>
    </row>
    <row r="80" spans="1:13" x14ac:dyDescent="0.3">
      <c r="A80" s="10">
        <v>136</v>
      </c>
      <c r="B80" s="11">
        <v>45689</v>
      </c>
      <c r="C80" s="12" t="s">
        <v>82</v>
      </c>
      <c r="D80" s="10" t="s">
        <v>150</v>
      </c>
      <c r="E80" s="13">
        <v>70500000002</v>
      </c>
      <c r="F80" s="14">
        <v>0</v>
      </c>
      <c r="G80" s="14">
        <v>40.177561940658435</v>
      </c>
      <c r="H80" s="14">
        <v>0</v>
      </c>
      <c r="I80" s="14" t="s">
        <v>309</v>
      </c>
      <c r="J80" s="21">
        <f t="shared" si="4"/>
        <v>40.177561940658435</v>
      </c>
      <c r="K80" s="22">
        <f t="shared" si="5"/>
        <v>45716</v>
      </c>
      <c r="L80" s="22" t="s">
        <v>320</v>
      </c>
      <c r="M80" s="21"/>
    </row>
    <row r="81" spans="1:13" x14ac:dyDescent="0.3">
      <c r="A81" s="10">
        <v>138</v>
      </c>
      <c r="B81" s="11">
        <v>45693</v>
      </c>
      <c r="C81" s="12" t="s">
        <v>292</v>
      </c>
      <c r="D81" s="10" t="s">
        <v>142</v>
      </c>
      <c r="E81" s="13">
        <v>70500000001</v>
      </c>
      <c r="F81" s="14">
        <v>0</v>
      </c>
      <c r="G81" s="14">
        <v>543.94093470124858</v>
      </c>
      <c r="H81" s="14">
        <v>0</v>
      </c>
      <c r="I81" s="14" t="s">
        <v>308</v>
      </c>
      <c r="J81" s="21">
        <f t="shared" si="4"/>
        <v>543.94093470124858</v>
      </c>
      <c r="K81" s="22">
        <f t="shared" si="5"/>
        <v>45716</v>
      </c>
      <c r="L81" s="22" t="s">
        <v>315</v>
      </c>
      <c r="M81" s="21"/>
    </row>
    <row r="82" spans="1:13" x14ac:dyDescent="0.3">
      <c r="A82" s="10">
        <v>141</v>
      </c>
      <c r="B82" s="11">
        <v>45689</v>
      </c>
      <c r="C82" s="12" t="s">
        <v>68</v>
      </c>
      <c r="D82" s="10" t="s">
        <v>79</v>
      </c>
      <c r="E82" s="13">
        <v>62900000000</v>
      </c>
      <c r="F82" s="14">
        <v>170.61635845794507</v>
      </c>
      <c r="G82" s="14">
        <v>0</v>
      </c>
      <c r="H82" s="14">
        <v>0</v>
      </c>
      <c r="I82" s="14" t="s">
        <v>301</v>
      </c>
      <c r="J82" s="21">
        <f t="shared" si="4"/>
        <v>-170.61635845794507</v>
      </c>
      <c r="K82" s="22">
        <f t="shared" si="5"/>
        <v>45716</v>
      </c>
      <c r="L82" s="22" t="s">
        <v>314</v>
      </c>
      <c r="M82" s="21"/>
    </row>
    <row r="83" spans="1:13" x14ac:dyDescent="0.3">
      <c r="A83" s="10">
        <v>142</v>
      </c>
      <c r="B83" s="11">
        <v>45689</v>
      </c>
      <c r="C83" s="12" t="s">
        <v>80</v>
      </c>
      <c r="D83" s="10" t="s">
        <v>81</v>
      </c>
      <c r="E83" s="13">
        <v>62900000000</v>
      </c>
      <c r="F83" s="14">
        <v>464.31466201291687</v>
      </c>
      <c r="G83" s="14">
        <v>0</v>
      </c>
      <c r="H83" s="14">
        <v>0</v>
      </c>
      <c r="I83" s="14" t="s">
        <v>301</v>
      </c>
      <c r="J83" s="21">
        <f t="shared" si="4"/>
        <v>-464.31466201291687</v>
      </c>
      <c r="K83" s="22">
        <f t="shared" si="5"/>
        <v>45716</v>
      </c>
      <c r="L83" s="22" t="s">
        <v>320</v>
      </c>
      <c r="M83" s="21"/>
    </row>
    <row r="84" spans="1:13" x14ac:dyDescent="0.3">
      <c r="A84" s="10">
        <v>143</v>
      </c>
      <c r="B84" s="11">
        <v>45689</v>
      </c>
      <c r="C84" s="12" t="s">
        <v>82</v>
      </c>
      <c r="D84" s="10" t="s">
        <v>83</v>
      </c>
      <c r="E84" s="13">
        <v>62900000000</v>
      </c>
      <c r="F84" s="14">
        <v>8.3774416559347937</v>
      </c>
      <c r="G84" s="14">
        <v>0</v>
      </c>
      <c r="H84" s="14">
        <v>0</v>
      </c>
      <c r="I84" s="14" t="s">
        <v>301</v>
      </c>
      <c r="J84" s="21">
        <f t="shared" si="4"/>
        <v>-8.3774416559347937</v>
      </c>
      <c r="K84" s="22">
        <f t="shared" si="5"/>
        <v>45716</v>
      </c>
      <c r="L84" s="22" t="s">
        <v>314</v>
      </c>
      <c r="M84" s="21"/>
    </row>
    <row r="85" spans="1:13" x14ac:dyDescent="0.3">
      <c r="A85" s="10">
        <v>144</v>
      </c>
      <c r="B85" s="11">
        <v>45689</v>
      </c>
      <c r="C85" s="12" t="s">
        <v>66</v>
      </c>
      <c r="D85" s="10" t="s">
        <v>77</v>
      </c>
      <c r="E85" s="13">
        <v>621</v>
      </c>
      <c r="F85" s="14">
        <v>487.34736609200121</v>
      </c>
      <c r="G85" s="14">
        <v>0</v>
      </c>
      <c r="H85" s="14">
        <v>0</v>
      </c>
      <c r="I85" s="14" t="s">
        <v>296</v>
      </c>
      <c r="J85" s="21">
        <f t="shared" si="4"/>
        <v>-487.34736609200121</v>
      </c>
      <c r="K85" s="22">
        <f t="shared" si="5"/>
        <v>45716</v>
      </c>
      <c r="L85" s="22" t="s">
        <v>314</v>
      </c>
      <c r="M85" s="21"/>
    </row>
    <row r="86" spans="1:13" x14ac:dyDescent="0.3">
      <c r="A86" s="10">
        <v>145</v>
      </c>
      <c r="B86" s="11">
        <v>45692</v>
      </c>
      <c r="C86" s="12" t="s">
        <v>9</v>
      </c>
      <c r="D86" s="10" t="s">
        <v>19</v>
      </c>
      <c r="E86" s="13">
        <v>62900000000</v>
      </c>
      <c r="F86" s="14">
        <v>54.10862738833459</v>
      </c>
      <c r="G86" s="14">
        <v>0</v>
      </c>
      <c r="H86" s="14">
        <v>0</v>
      </c>
      <c r="I86" s="14" t="s">
        <v>301</v>
      </c>
      <c r="J86" s="21">
        <f t="shared" si="4"/>
        <v>-54.10862738833459</v>
      </c>
      <c r="K86" s="22">
        <f t="shared" si="5"/>
        <v>45716</v>
      </c>
      <c r="L86" s="22" t="s">
        <v>314</v>
      </c>
      <c r="M86" s="21"/>
    </row>
    <row r="87" spans="1:13" x14ac:dyDescent="0.3">
      <c r="A87" s="10">
        <v>165</v>
      </c>
      <c r="B87" s="11">
        <v>45703</v>
      </c>
      <c r="C87" s="12" t="s">
        <v>64</v>
      </c>
      <c r="D87" s="10" t="s">
        <v>300</v>
      </c>
      <c r="E87" s="13">
        <v>626</v>
      </c>
      <c r="F87" s="14">
        <v>3.9051693361647102</v>
      </c>
      <c r="G87" s="14">
        <v>0</v>
      </c>
      <c r="H87" s="14">
        <v>0</v>
      </c>
      <c r="I87" s="14" t="s">
        <v>299</v>
      </c>
      <c r="J87" s="21">
        <f t="shared" si="4"/>
        <v>-3.9051693361647102</v>
      </c>
      <c r="K87" s="22">
        <f t="shared" si="5"/>
        <v>45716</v>
      </c>
      <c r="L87" s="22" t="s">
        <v>314</v>
      </c>
      <c r="M87" s="21"/>
    </row>
    <row r="88" spans="1:13" x14ac:dyDescent="0.3">
      <c r="A88" s="10">
        <v>167</v>
      </c>
      <c r="B88" s="11">
        <v>45712</v>
      </c>
      <c r="C88" s="12" t="s">
        <v>258</v>
      </c>
      <c r="D88" s="10" t="s">
        <v>84</v>
      </c>
      <c r="E88" s="13">
        <v>62900000000</v>
      </c>
      <c r="F88" s="14">
        <v>203.63516991196985</v>
      </c>
      <c r="G88" s="14">
        <v>0</v>
      </c>
      <c r="H88" s="14">
        <v>0</v>
      </c>
      <c r="I88" s="14" t="s">
        <v>301</v>
      </c>
      <c r="J88" s="21">
        <f t="shared" si="4"/>
        <v>-203.63516991196985</v>
      </c>
      <c r="K88" s="22">
        <f t="shared" si="5"/>
        <v>45716</v>
      </c>
      <c r="L88" s="22" t="s">
        <v>316</v>
      </c>
      <c r="M88" s="21"/>
    </row>
    <row r="89" spans="1:13" x14ac:dyDescent="0.3">
      <c r="A89" s="10">
        <v>168</v>
      </c>
      <c r="B89" s="11">
        <v>45713</v>
      </c>
      <c r="C89" s="12" t="s">
        <v>75</v>
      </c>
      <c r="D89" s="10" t="s">
        <v>85</v>
      </c>
      <c r="E89" s="13">
        <v>62900000000</v>
      </c>
      <c r="F89" s="14">
        <v>58.76934296159147</v>
      </c>
      <c r="G89" s="14">
        <v>0</v>
      </c>
      <c r="H89" s="14">
        <v>0</v>
      </c>
      <c r="I89" s="14" t="s">
        <v>301</v>
      </c>
      <c r="J89" s="21">
        <f t="shared" si="4"/>
        <v>-58.76934296159147</v>
      </c>
      <c r="K89" s="22">
        <f t="shared" si="5"/>
        <v>45716</v>
      </c>
      <c r="L89" s="22" t="s">
        <v>316</v>
      </c>
      <c r="M89" s="21"/>
    </row>
    <row r="90" spans="1:13" x14ac:dyDescent="0.3">
      <c r="A90" s="10">
        <v>169</v>
      </c>
      <c r="B90" s="11">
        <v>45714</v>
      </c>
      <c r="C90" s="12" t="s">
        <v>86</v>
      </c>
      <c r="D90" s="10" t="s">
        <v>87</v>
      </c>
      <c r="E90" s="13">
        <v>62900000000</v>
      </c>
      <c r="F90" s="14">
        <v>39.904482940395084</v>
      </c>
      <c r="G90" s="14">
        <v>0</v>
      </c>
      <c r="H90" s="14">
        <v>0</v>
      </c>
      <c r="I90" s="14" t="s">
        <v>301</v>
      </c>
      <c r="J90" s="21">
        <f t="shared" si="4"/>
        <v>-39.904482940395084</v>
      </c>
      <c r="K90" s="22">
        <f t="shared" si="5"/>
        <v>45716</v>
      </c>
      <c r="L90" s="22" t="s">
        <v>314</v>
      </c>
      <c r="M90" s="21"/>
    </row>
    <row r="91" spans="1:13" x14ac:dyDescent="0.3">
      <c r="A91" s="10">
        <v>170</v>
      </c>
      <c r="B91" s="11">
        <v>45710</v>
      </c>
      <c r="C91" s="12" t="s">
        <v>72</v>
      </c>
      <c r="D91" s="10" t="s">
        <v>97</v>
      </c>
      <c r="E91" s="13">
        <v>70500000000</v>
      </c>
      <c r="F91" s="14">
        <v>0</v>
      </c>
      <c r="G91" s="14">
        <v>1954.246774506398</v>
      </c>
      <c r="H91" s="14">
        <v>0</v>
      </c>
      <c r="I91" s="14" t="s">
        <v>307</v>
      </c>
      <c r="J91" s="21">
        <f t="shared" si="4"/>
        <v>1954.246774506398</v>
      </c>
      <c r="K91" s="22">
        <f t="shared" si="5"/>
        <v>45716</v>
      </c>
      <c r="L91" s="22" t="s">
        <v>320</v>
      </c>
      <c r="M91" s="21"/>
    </row>
    <row r="92" spans="1:13" x14ac:dyDescent="0.3">
      <c r="A92" s="10">
        <v>171</v>
      </c>
      <c r="B92" s="11">
        <v>45711</v>
      </c>
      <c r="C92" s="12" t="s">
        <v>98</v>
      </c>
      <c r="D92" s="10" t="s">
        <v>99</v>
      </c>
      <c r="E92" s="13">
        <v>70500000000</v>
      </c>
      <c r="F92" s="14">
        <v>0</v>
      </c>
      <c r="G92" s="14">
        <v>1454.7819045832994</v>
      </c>
      <c r="H92" s="14">
        <v>0</v>
      </c>
      <c r="I92" s="14" t="s">
        <v>307</v>
      </c>
      <c r="J92" s="21">
        <f t="shared" si="4"/>
        <v>1454.7819045832994</v>
      </c>
      <c r="K92" s="22">
        <f t="shared" si="5"/>
        <v>45716</v>
      </c>
      <c r="L92" s="22" t="s">
        <v>321</v>
      </c>
      <c r="M92" s="21"/>
    </row>
    <row r="93" spans="1:13" x14ac:dyDescent="0.3">
      <c r="A93" s="10">
        <v>172</v>
      </c>
      <c r="B93" s="11">
        <v>45711</v>
      </c>
      <c r="C93" s="12" t="s">
        <v>100</v>
      </c>
      <c r="D93" s="10" t="s">
        <v>101</v>
      </c>
      <c r="E93" s="13">
        <v>70500000000</v>
      </c>
      <c r="F93" s="14">
        <v>0</v>
      </c>
      <c r="G93" s="14">
        <v>7503.7638108608471</v>
      </c>
      <c r="H93" s="14">
        <v>0</v>
      </c>
      <c r="I93" s="14" t="s">
        <v>307</v>
      </c>
      <c r="J93" s="21">
        <f t="shared" si="4"/>
        <v>7503.7638108608471</v>
      </c>
      <c r="K93" s="22">
        <f t="shared" si="5"/>
        <v>45716</v>
      </c>
      <c r="L93" s="22" t="s">
        <v>321</v>
      </c>
      <c r="M93" s="21"/>
    </row>
    <row r="94" spans="1:13" x14ac:dyDescent="0.3">
      <c r="A94" s="10">
        <v>173</v>
      </c>
      <c r="B94" s="11">
        <v>45713</v>
      </c>
      <c r="C94" s="12" t="s">
        <v>102</v>
      </c>
      <c r="D94" s="10" t="s">
        <v>103</v>
      </c>
      <c r="E94" s="13">
        <v>70500000000</v>
      </c>
      <c r="F94" s="14">
        <v>0</v>
      </c>
      <c r="G94" s="14">
        <v>2435.9301180442149</v>
      </c>
      <c r="H94" s="14">
        <v>0</v>
      </c>
      <c r="I94" s="14" t="s">
        <v>307</v>
      </c>
      <c r="J94" s="21">
        <f t="shared" si="4"/>
        <v>2435.9301180442149</v>
      </c>
      <c r="K94" s="22">
        <f t="shared" si="5"/>
        <v>45716</v>
      </c>
      <c r="L94" s="22" t="s">
        <v>318</v>
      </c>
      <c r="M94" s="21"/>
    </row>
    <row r="95" spans="1:13" x14ac:dyDescent="0.3">
      <c r="A95" s="10">
        <v>174</v>
      </c>
      <c r="B95" s="11">
        <v>45713</v>
      </c>
      <c r="C95" s="12" t="s">
        <v>104</v>
      </c>
      <c r="D95" s="10" t="s">
        <v>105</v>
      </c>
      <c r="E95" s="13">
        <v>70500000000</v>
      </c>
      <c r="F95" s="14">
        <v>0</v>
      </c>
      <c r="G95" s="14">
        <v>1328.8864792144211</v>
      </c>
      <c r="H95" s="14">
        <v>0</v>
      </c>
      <c r="I95" s="14" t="s">
        <v>307</v>
      </c>
      <c r="J95" s="21">
        <f t="shared" si="4"/>
        <v>1328.8864792144211</v>
      </c>
      <c r="K95" s="22">
        <f t="shared" si="5"/>
        <v>45716</v>
      </c>
      <c r="L95" s="22" t="s">
        <v>318</v>
      </c>
      <c r="M95" s="21"/>
    </row>
    <row r="96" spans="1:13" x14ac:dyDescent="0.3">
      <c r="A96" s="10">
        <v>175</v>
      </c>
      <c r="B96" s="11">
        <v>45713</v>
      </c>
      <c r="C96" s="12" t="s">
        <v>106</v>
      </c>
      <c r="D96" s="10" t="s">
        <v>107</v>
      </c>
      <c r="E96" s="13">
        <v>70500000000</v>
      </c>
      <c r="F96" s="14">
        <v>0</v>
      </c>
      <c r="G96" s="14">
        <v>3608.08797111893</v>
      </c>
      <c r="H96" s="14">
        <v>0</v>
      </c>
      <c r="I96" s="14" t="s">
        <v>307</v>
      </c>
      <c r="J96" s="21">
        <f t="shared" si="4"/>
        <v>3608.08797111893</v>
      </c>
      <c r="K96" s="22">
        <f t="shared" si="5"/>
        <v>45716</v>
      </c>
      <c r="L96" s="22" t="s">
        <v>318</v>
      </c>
      <c r="M96" s="21"/>
    </row>
    <row r="97" spans="1:13" x14ac:dyDescent="0.3">
      <c r="A97" s="10">
        <v>176</v>
      </c>
      <c r="B97" s="11">
        <v>45713</v>
      </c>
      <c r="C97" s="12" t="s">
        <v>108</v>
      </c>
      <c r="D97" s="10" t="s">
        <v>109</v>
      </c>
      <c r="E97" s="13">
        <v>70500000000</v>
      </c>
      <c r="F97" s="14">
        <v>0</v>
      </c>
      <c r="G97" s="14">
        <v>1702.8688374883341</v>
      </c>
      <c r="H97" s="14">
        <v>0</v>
      </c>
      <c r="I97" s="14" t="s">
        <v>307</v>
      </c>
      <c r="J97" s="21">
        <f t="shared" si="4"/>
        <v>1702.8688374883341</v>
      </c>
      <c r="K97" s="22">
        <f t="shared" si="5"/>
        <v>45716</v>
      </c>
      <c r="L97" s="22" t="s">
        <v>318</v>
      </c>
      <c r="M97" s="21"/>
    </row>
    <row r="98" spans="1:13" x14ac:dyDescent="0.3">
      <c r="A98" s="10">
        <v>177</v>
      </c>
      <c r="B98" s="11">
        <v>45713</v>
      </c>
      <c r="C98" s="12" t="s">
        <v>110</v>
      </c>
      <c r="D98" s="10" t="s">
        <v>111</v>
      </c>
      <c r="E98" s="13">
        <v>70500000000</v>
      </c>
      <c r="F98" s="14">
        <v>0</v>
      </c>
      <c r="G98" s="14">
        <v>1950.2740273957768</v>
      </c>
      <c r="H98" s="14">
        <v>0</v>
      </c>
      <c r="I98" s="14" t="s">
        <v>307</v>
      </c>
      <c r="J98" s="21">
        <f t="shared" ref="J98:J129" si="6">G98-F98</f>
        <v>1950.2740273957768</v>
      </c>
      <c r="K98" s="22">
        <f t="shared" ref="K98:K129" si="7">EOMONTH(B98,0)</f>
        <v>45716</v>
      </c>
      <c r="L98" s="22" t="s">
        <v>318</v>
      </c>
      <c r="M98" s="21"/>
    </row>
    <row r="99" spans="1:13" x14ac:dyDescent="0.3">
      <c r="A99" s="10">
        <v>178</v>
      </c>
      <c r="B99" s="11">
        <v>45713</v>
      </c>
      <c r="C99" s="12" t="s">
        <v>112</v>
      </c>
      <c r="D99" s="10" t="s">
        <v>113</v>
      </c>
      <c r="E99" s="13">
        <v>70500000000</v>
      </c>
      <c r="F99" s="14">
        <v>0</v>
      </c>
      <c r="G99" s="14">
        <v>617.83329595990892</v>
      </c>
      <c r="H99" s="14">
        <v>0</v>
      </c>
      <c r="I99" s="14" t="s">
        <v>307</v>
      </c>
      <c r="J99" s="21">
        <f t="shared" si="6"/>
        <v>617.83329595990892</v>
      </c>
      <c r="K99" s="22">
        <f t="shared" si="7"/>
        <v>45716</v>
      </c>
      <c r="L99" s="22" t="s">
        <v>318</v>
      </c>
      <c r="M99" s="21"/>
    </row>
    <row r="100" spans="1:13" x14ac:dyDescent="0.3">
      <c r="A100" s="10">
        <v>179</v>
      </c>
      <c r="B100" s="11">
        <v>45713</v>
      </c>
      <c r="C100" s="12" t="s">
        <v>114</v>
      </c>
      <c r="D100" s="10" t="s">
        <v>115</v>
      </c>
      <c r="E100" s="13">
        <v>70500000000</v>
      </c>
      <c r="F100" s="14">
        <v>0</v>
      </c>
      <c r="G100" s="14">
        <v>768.99468949554193</v>
      </c>
      <c r="H100" s="14">
        <v>0</v>
      </c>
      <c r="I100" s="14" t="s">
        <v>307</v>
      </c>
      <c r="J100" s="21">
        <f t="shared" si="6"/>
        <v>768.99468949554193</v>
      </c>
      <c r="K100" s="22">
        <f t="shared" si="7"/>
        <v>45716</v>
      </c>
      <c r="L100" s="22" t="s">
        <v>318</v>
      </c>
      <c r="M100" s="21"/>
    </row>
    <row r="101" spans="1:13" x14ac:dyDescent="0.3">
      <c r="A101" s="10">
        <v>180</v>
      </c>
      <c r="B101" s="11">
        <v>45713</v>
      </c>
      <c r="C101" s="12" t="s">
        <v>116</v>
      </c>
      <c r="D101" s="10" t="s">
        <v>117</v>
      </c>
      <c r="E101" s="13">
        <v>70500000000</v>
      </c>
      <c r="F101" s="14">
        <v>0</v>
      </c>
      <c r="G101" s="14">
        <v>2078.225668973972</v>
      </c>
      <c r="H101" s="14">
        <v>0</v>
      </c>
      <c r="I101" s="14" t="s">
        <v>307</v>
      </c>
      <c r="J101" s="21">
        <f t="shared" si="6"/>
        <v>2078.225668973972</v>
      </c>
      <c r="K101" s="22">
        <f t="shared" si="7"/>
        <v>45716</v>
      </c>
      <c r="L101" s="22" t="s">
        <v>318</v>
      </c>
      <c r="M101" s="21"/>
    </row>
    <row r="102" spans="1:13" x14ac:dyDescent="0.3">
      <c r="A102" s="10">
        <v>181</v>
      </c>
      <c r="B102" s="11">
        <v>45713</v>
      </c>
      <c r="C102" s="12" t="s">
        <v>118</v>
      </c>
      <c r="D102" s="10" t="s">
        <v>119</v>
      </c>
      <c r="E102" s="13">
        <v>70500000000</v>
      </c>
      <c r="F102" s="14">
        <v>0</v>
      </c>
      <c r="G102" s="14">
        <v>3398.1375189388432</v>
      </c>
      <c r="H102" s="14">
        <v>0</v>
      </c>
      <c r="I102" s="14" t="s">
        <v>307</v>
      </c>
      <c r="J102" s="21">
        <f t="shared" si="6"/>
        <v>3398.1375189388432</v>
      </c>
      <c r="K102" s="22">
        <f t="shared" si="7"/>
        <v>45716</v>
      </c>
      <c r="L102" s="22" t="s">
        <v>318</v>
      </c>
      <c r="M102" s="21"/>
    </row>
    <row r="103" spans="1:13" x14ac:dyDescent="0.3">
      <c r="A103" s="10">
        <v>182</v>
      </c>
      <c r="B103" s="11">
        <v>45713</v>
      </c>
      <c r="C103" s="12" t="s">
        <v>74</v>
      </c>
      <c r="D103" s="10" t="s">
        <v>120</v>
      </c>
      <c r="E103" s="13">
        <v>70500000000</v>
      </c>
      <c r="F103" s="14">
        <v>0</v>
      </c>
      <c r="G103" s="14">
        <v>559.84919291271183</v>
      </c>
      <c r="H103" s="14">
        <v>0</v>
      </c>
      <c r="I103" s="14" t="s">
        <v>307</v>
      </c>
      <c r="J103" s="21">
        <f t="shared" si="6"/>
        <v>559.84919291271183</v>
      </c>
      <c r="K103" s="22">
        <f t="shared" si="7"/>
        <v>45716</v>
      </c>
      <c r="L103" s="22" t="s">
        <v>318</v>
      </c>
      <c r="M103" s="21"/>
    </row>
    <row r="104" spans="1:13" x14ac:dyDescent="0.3">
      <c r="A104" s="10">
        <v>183</v>
      </c>
      <c r="B104" s="11">
        <v>45713</v>
      </c>
      <c r="C104" s="12" t="s">
        <v>121</v>
      </c>
      <c r="D104" s="10" t="s">
        <v>122</v>
      </c>
      <c r="E104" s="13">
        <v>70500000000</v>
      </c>
      <c r="F104" s="14">
        <v>0</v>
      </c>
      <c r="G104" s="14">
        <v>455.40632170693414</v>
      </c>
      <c r="H104" s="14">
        <v>0</v>
      </c>
      <c r="I104" s="14" t="s">
        <v>307</v>
      </c>
      <c r="J104" s="21">
        <f t="shared" si="6"/>
        <v>455.40632170693414</v>
      </c>
      <c r="K104" s="22">
        <f t="shared" si="7"/>
        <v>45716</v>
      </c>
      <c r="L104" s="22" t="s">
        <v>318</v>
      </c>
      <c r="M104" s="21"/>
    </row>
    <row r="105" spans="1:13" x14ac:dyDescent="0.3">
      <c r="A105" s="10">
        <v>184</v>
      </c>
      <c r="B105" s="11">
        <v>45713</v>
      </c>
      <c r="C105" s="12" t="s">
        <v>123</v>
      </c>
      <c r="D105" s="10" t="s">
        <v>124</v>
      </c>
      <c r="E105" s="13">
        <v>70500000000</v>
      </c>
      <c r="F105" s="14">
        <v>0</v>
      </c>
      <c r="G105" s="14">
        <v>2466.7203474540938</v>
      </c>
      <c r="H105" s="14">
        <v>0</v>
      </c>
      <c r="I105" s="14" t="s">
        <v>307</v>
      </c>
      <c r="J105" s="21">
        <f t="shared" si="6"/>
        <v>2466.7203474540938</v>
      </c>
      <c r="K105" s="22">
        <f t="shared" si="7"/>
        <v>45716</v>
      </c>
      <c r="L105" s="22" t="s">
        <v>318</v>
      </c>
      <c r="M105" s="21"/>
    </row>
    <row r="106" spans="1:13" x14ac:dyDescent="0.3">
      <c r="A106" s="10">
        <v>185</v>
      </c>
      <c r="B106" s="11">
        <v>45713</v>
      </c>
      <c r="C106" s="12" t="s">
        <v>125</v>
      </c>
      <c r="D106" s="10" t="s">
        <v>126</v>
      </c>
      <c r="E106" s="13">
        <v>70500000000</v>
      </c>
      <c r="F106" s="14">
        <v>0</v>
      </c>
      <c r="G106" s="14">
        <v>837.19604101387063</v>
      </c>
      <c r="H106" s="14">
        <v>0</v>
      </c>
      <c r="I106" s="14" t="s">
        <v>307</v>
      </c>
      <c r="J106" s="21">
        <f t="shared" si="6"/>
        <v>837.19604101387063</v>
      </c>
      <c r="K106" s="22">
        <f t="shared" si="7"/>
        <v>45716</v>
      </c>
      <c r="L106" s="22" t="s">
        <v>318</v>
      </c>
      <c r="M106" s="21"/>
    </row>
    <row r="107" spans="1:13" x14ac:dyDescent="0.3">
      <c r="A107" s="10">
        <v>186</v>
      </c>
      <c r="B107" s="11">
        <v>45713</v>
      </c>
      <c r="C107" s="12" t="s">
        <v>127</v>
      </c>
      <c r="D107" s="10" t="s">
        <v>128</v>
      </c>
      <c r="E107" s="13">
        <v>70500000000</v>
      </c>
      <c r="F107" s="14">
        <v>0</v>
      </c>
      <c r="G107" s="14">
        <v>1906.2180437530283</v>
      </c>
      <c r="H107" s="14">
        <v>0</v>
      </c>
      <c r="I107" s="14" t="s">
        <v>307</v>
      </c>
      <c r="J107" s="21">
        <f t="shared" si="6"/>
        <v>1906.2180437530283</v>
      </c>
      <c r="K107" s="22">
        <f t="shared" si="7"/>
        <v>45716</v>
      </c>
      <c r="L107" s="22" t="s">
        <v>318</v>
      </c>
      <c r="M107" s="21"/>
    </row>
    <row r="108" spans="1:13" x14ac:dyDescent="0.3">
      <c r="A108" s="10">
        <v>188</v>
      </c>
      <c r="B108" s="11">
        <v>45713</v>
      </c>
      <c r="C108" s="12" t="s">
        <v>129</v>
      </c>
      <c r="D108" s="10" t="s">
        <v>130</v>
      </c>
      <c r="E108" s="13">
        <v>70500000000</v>
      </c>
      <c r="F108" s="14">
        <v>0</v>
      </c>
      <c r="G108" s="14">
        <v>538.12852211712993</v>
      </c>
      <c r="H108" s="14">
        <v>0</v>
      </c>
      <c r="I108" s="14" t="s">
        <v>307</v>
      </c>
      <c r="J108" s="21">
        <f t="shared" si="6"/>
        <v>538.12852211712993</v>
      </c>
      <c r="K108" s="22">
        <f t="shared" si="7"/>
        <v>45716</v>
      </c>
      <c r="L108" s="22" t="s">
        <v>318</v>
      </c>
      <c r="M108" s="21"/>
    </row>
    <row r="109" spans="1:13" x14ac:dyDescent="0.3">
      <c r="A109" s="10">
        <v>189</v>
      </c>
      <c r="B109" s="11">
        <v>45713</v>
      </c>
      <c r="C109" s="12" t="s">
        <v>131</v>
      </c>
      <c r="D109" s="10" t="s">
        <v>132</v>
      </c>
      <c r="E109" s="13">
        <v>70500000000</v>
      </c>
      <c r="F109" s="14">
        <v>0</v>
      </c>
      <c r="G109" s="14">
        <v>1842.0678681972151</v>
      </c>
      <c r="H109" s="14">
        <v>0</v>
      </c>
      <c r="I109" s="14" t="s">
        <v>307</v>
      </c>
      <c r="J109" s="21">
        <f t="shared" si="6"/>
        <v>1842.0678681972151</v>
      </c>
      <c r="K109" s="22">
        <f t="shared" si="7"/>
        <v>45716</v>
      </c>
      <c r="L109" s="22" t="s">
        <v>318</v>
      </c>
      <c r="M109" s="21"/>
    </row>
    <row r="110" spans="1:13" x14ac:dyDescent="0.3">
      <c r="A110" s="10">
        <v>190</v>
      </c>
      <c r="B110" s="11">
        <v>45713</v>
      </c>
      <c r="C110" s="12" t="s">
        <v>133</v>
      </c>
      <c r="D110" s="10" t="s">
        <v>134</v>
      </c>
      <c r="E110" s="13">
        <v>70500000000</v>
      </c>
      <c r="F110" s="14">
        <v>0</v>
      </c>
      <c r="G110" s="14">
        <v>2411.3233778215285</v>
      </c>
      <c r="H110" s="14">
        <v>0</v>
      </c>
      <c r="I110" s="14" t="s">
        <v>307</v>
      </c>
      <c r="J110" s="21">
        <f t="shared" si="6"/>
        <v>2411.3233778215285</v>
      </c>
      <c r="K110" s="22">
        <f t="shared" si="7"/>
        <v>45716</v>
      </c>
      <c r="L110" s="22" t="s">
        <v>318</v>
      </c>
      <c r="M110" s="21"/>
    </row>
    <row r="111" spans="1:13" x14ac:dyDescent="0.3">
      <c r="A111" s="10">
        <v>191</v>
      </c>
      <c r="B111" s="11">
        <v>45713</v>
      </c>
      <c r="C111" s="12" t="s">
        <v>135</v>
      </c>
      <c r="D111" s="10" t="s">
        <v>136</v>
      </c>
      <c r="E111" s="13">
        <v>70500000000</v>
      </c>
      <c r="F111" s="14">
        <v>0</v>
      </c>
      <c r="G111" s="14">
        <v>301.99279319379724</v>
      </c>
      <c r="H111" s="14">
        <v>0</v>
      </c>
      <c r="I111" s="14" t="s">
        <v>307</v>
      </c>
      <c r="J111" s="21">
        <f t="shared" si="6"/>
        <v>301.99279319379724</v>
      </c>
      <c r="K111" s="22">
        <f t="shared" si="7"/>
        <v>45716</v>
      </c>
      <c r="L111" s="22" t="s">
        <v>318</v>
      </c>
      <c r="M111" s="21"/>
    </row>
    <row r="112" spans="1:13" x14ac:dyDescent="0.3">
      <c r="A112" s="10">
        <v>192</v>
      </c>
      <c r="B112" s="11">
        <v>45713</v>
      </c>
      <c r="C112" s="12" t="s">
        <v>137</v>
      </c>
      <c r="D112" s="10" t="s">
        <v>138</v>
      </c>
      <c r="E112" s="13">
        <v>70500000000</v>
      </c>
      <c r="F112" s="14">
        <v>0</v>
      </c>
      <c r="G112" s="14">
        <v>526.17979369388263</v>
      </c>
      <c r="H112" s="14">
        <v>0</v>
      </c>
      <c r="I112" s="14" t="s">
        <v>307</v>
      </c>
      <c r="J112" s="21">
        <f t="shared" si="6"/>
        <v>526.17979369388263</v>
      </c>
      <c r="K112" s="22">
        <f t="shared" si="7"/>
        <v>45716</v>
      </c>
      <c r="L112" s="22" t="s">
        <v>318</v>
      </c>
      <c r="M112" s="21"/>
    </row>
    <row r="113" spans="1:13" x14ac:dyDescent="0.3">
      <c r="A113" s="10">
        <v>193</v>
      </c>
      <c r="B113" s="11">
        <v>45713</v>
      </c>
      <c r="C113" s="12" t="s">
        <v>76</v>
      </c>
      <c r="D113" s="10" t="s">
        <v>139</v>
      </c>
      <c r="E113" s="13">
        <v>70500000000</v>
      </c>
      <c r="F113" s="14">
        <v>0</v>
      </c>
      <c r="G113" s="14">
        <v>87.555012744828446</v>
      </c>
      <c r="H113" s="14">
        <v>0</v>
      </c>
      <c r="I113" s="14" t="s">
        <v>307</v>
      </c>
      <c r="J113" s="21">
        <f t="shared" si="6"/>
        <v>87.555012744828446</v>
      </c>
      <c r="K113" s="22">
        <f t="shared" si="7"/>
        <v>45716</v>
      </c>
      <c r="L113" s="22" t="s">
        <v>318</v>
      </c>
      <c r="M113" s="21"/>
    </row>
    <row r="114" spans="1:13" x14ac:dyDescent="0.3">
      <c r="A114" s="10">
        <v>194</v>
      </c>
      <c r="B114" s="11">
        <v>45713</v>
      </c>
      <c r="C114" s="12" t="s">
        <v>140</v>
      </c>
      <c r="D114" s="10" t="s">
        <v>141</v>
      </c>
      <c r="E114" s="13">
        <v>70500000000</v>
      </c>
      <c r="F114" s="14">
        <v>0</v>
      </c>
      <c r="G114" s="14">
        <v>228.98379170412701</v>
      </c>
      <c r="H114" s="14">
        <v>0</v>
      </c>
      <c r="I114" s="14" t="s">
        <v>307</v>
      </c>
      <c r="J114" s="21">
        <f t="shared" si="6"/>
        <v>228.98379170412701</v>
      </c>
      <c r="K114" s="22">
        <f t="shared" si="7"/>
        <v>45716</v>
      </c>
      <c r="L114" s="22" t="s">
        <v>315</v>
      </c>
      <c r="M114" s="21"/>
    </row>
    <row r="115" spans="1:13" x14ac:dyDescent="0.3">
      <c r="A115" s="10">
        <v>196</v>
      </c>
      <c r="B115" s="11">
        <v>45704</v>
      </c>
      <c r="C115" s="12" t="s">
        <v>64</v>
      </c>
      <c r="D115" s="10" t="s">
        <v>22</v>
      </c>
      <c r="E115" s="13">
        <v>626</v>
      </c>
      <c r="F115" s="14">
        <v>-4.9777763452500583</v>
      </c>
      <c r="G115" s="14">
        <v>0</v>
      </c>
      <c r="H115" s="14">
        <v>0</v>
      </c>
      <c r="I115" s="14" t="s">
        <v>299</v>
      </c>
      <c r="J115" s="21">
        <f t="shared" si="6"/>
        <v>4.9777763452500583</v>
      </c>
      <c r="K115" s="22">
        <f t="shared" si="7"/>
        <v>45716</v>
      </c>
      <c r="L115" s="22" t="s">
        <v>314</v>
      </c>
      <c r="M115" s="21"/>
    </row>
    <row r="116" spans="1:13" x14ac:dyDescent="0.3">
      <c r="A116" s="10">
        <v>201</v>
      </c>
      <c r="B116" s="11">
        <v>45708</v>
      </c>
      <c r="C116" s="12" t="s">
        <v>64</v>
      </c>
      <c r="D116" s="10" t="s">
        <v>16</v>
      </c>
      <c r="E116" s="13">
        <v>626</v>
      </c>
      <c r="F116" s="14">
        <v>5.4565558388155102</v>
      </c>
      <c r="G116" s="14">
        <v>0</v>
      </c>
      <c r="H116" s="14">
        <v>0</v>
      </c>
      <c r="I116" s="14" t="s">
        <v>299</v>
      </c>
      <c r="J116" s="21">
        <f t="shared" si="6"/>
        <v>-5.4565558388155102</v>
      </c>
      <c r="K116" s="22">
        <f t="shared" si="7"/>
        <v>45716</v>
      </c>
      <c r="L116" s="22" t="s">
        <v>314</v>
      </c>
      <c r="M116" s="21"/>
    </row>
    <row r="117" spans="1:13" x14ac:dyDescent="0.3">
      <c r="A117" s="10">
        <v>204</v>
      </c>
      <c r="B117" s="11">
        <v>45711</v>
      </c>
      <c r="C117" s="12" t="s">
        <v>64</v>
      </c>
      <c r="D117" s="10" t="s">
        <v>16</v>
      </c>
      <c r="E117" s="13">
        <v>626</v>
      </c>
      <c r="F117" s="14">
        <v>6.0105704998083915</v>
      </c>
      <c r="G117" s="14">
        <v>0</v>
      </c>
      <c r="H117" s="14">
        <v>0</v>
      </c>
      <c r="I117" s="14" t="s">
        <v>299</v>
      </c>
      <c r="J117" s="21">
        <f t="shared" si="6"/>
        <v>-6.0105704998083915</v>
      </c>
      <c r="K117" s="22">
        <f t="shared" si="7"/>
        <v>45716</v>
      </c>
      <c r="L117" s="22" t="s">
        <v>314</v>
      </c>
      <c r="M117" s="21"/>
    </row>
    <row r="118" spans="1:13" x14ac:dyDescent="0.3">
      <c r="A118" s="10">
        <v>207</v>
      </c>
      <c r="B118" s="11">
        <v>45712</v>
      </c>
      <c r="C118" s="12" t="s">
        <v>64</v>
      </c>
      <c r="D118" s="10" t="s">
        <v>73</v>
      </c>
      <c r="E118" s="13">
        <v>668</v>
      </c>
      <c r="F118" s="14">
        <v>1.1776386116065172</v>
      </c>
      <c r="G118" s="14">
        <v>0</v>
      </c>
      <c r="H118" s="14">
        <v>0</v>
      </c>
      <c r="I118" s="14" t="s">
        <v>306</v>
      </c>
      <c r="J118" s="21">
        <f t="shared" si="6"/>
        <v>-1.1776386116065172</v>
      </c>
      <c r="K118" s="22">
        <f t="shared" si="7"/>
        <v>45716</v>
      </c>
      <c r="L118" s="22" t="s">
        <v>319</v>
      </c>
      <c r="M118" s="21"/>
    </row>
    <row r="119" spans="1:13" x14ac:dyDescent="0.3">
      <c r="A119" s="10">
        <v>212</v>
      </c>
      <c r="B119" s="11">
        <v>45714</v>
      </c>
      <c r="C119" s="12" t="s">
        <v>64</v>
      </c>
      <c r="D119" s="10" t="s">
        <v>16</v>
      </c>
      <c r="E119" s="13">
        <v>626</v>
      </c>
      <c r="F119" s="14">
        <v>1.4096212986490135</v>
      </c>
      <c r="G119" s="14">
        <v>0</v>
      </c>
      <c r="H119" s="14">
        <v>0</v>
      </c>
      <c r="I119" s="14" t="s">
        <v>299</v>
      </c>
      <c r="J119" s="21">
        <f t="shared" si="6"/>
        <v>-1.4096212986490135</v>
      </c>
      <c r="K119" s="22">
        <f t="shared" si="7"/>
        <v>45716</v>
      </c>
      <c r="L119" s="22" t="s">
        <v>314</v>
      </c>
      <c r="M119" s="21"/>
    </row>
    <row r="120" spans="1:13" x14ac:dyDescent="0.3">
      <c r="A120" s="10">
        <v>215</v>
      </c>
      <c r="B120" s="11">
        <v>45714</v>
      </c>
      <c r="C120" s="12" t="s">
        <v>64</v>
      </c>
      <c r="D120" s="10" t="s">
        <v>16</v>
      </c>
      <c r="E120" s="13">
        <v>626</v>
      </c>
      <c r="F120" s="14">
        <v>9.006262075237041</v>
      </c>
      <c r="G120" s="14">
        <v>0</v>
      </c>
      <c r="H120" s="14">
        <v>0</v>
      </c>
      <c r="I120" s="14" t="s">
        <v>299</v>
      </c>
      <c r="J120" s="21">
        <f t="shared" si="6"/>
        <v>-9.006262075237041</v>
      </c>
      <c r="K120" s="22">
        <f t="shared" si="7"/>
        <v>45716</v>
      </c>
      <c r="L120" s="22" t="s">
        <v>314</v>
      </c>
      <c r="M120" s="21"/>
    </row>
    <row r="121" spans="1:13" x14ac:dyDescent="0.3">
      <c r="A121" s="10">
        <v>217</v>
      </c>
      <c r="B121" s="11">
        <v>45716</v>
      </c>
      <c r="C121" s="12" t="s">
        <v>95</v>
      </c>
      <c r="D121" s="10" t="s">
        <v>96</v>
      </c>
      <c r="E121" s="13">
        <v>640</v>
      </c>
      <c r="F121" s="14">
        <v>5100.193190729934</v>
      </c>
      <c r="G121" s="14">
        <v>0</v>
      </c>
      <c r="H121" s="14">
        <v>0</v>
      </c>
      <c r="I121" s="14" t="s">
        <v>303</v>
      </c>
      <c r="J121" s="21">
        <f t="shared" si="6"/>
        <v>-5100.193190729934</v>
      </c>
      <c r="K121" s="22">
        <f t="shared" si="7"/>
        <v>45716</v>
      </c>
      <c r="L121" s="22" t="s">
        <v>319</v>
      </c>
      <c r="M121" s="21"/>
    </row>
    <row r="122" spans="1:13" x14ac:dyDescent="0.3">
      <c r="A122" s="10">
        <v>217</v>
      </c>
      <c r="B122" s="11">
        <v>45716</v>
      </c>
      <c r="C122" s="12" t="s">
        <v>95</v>
      </c>
      <c r="D122" s="10" t="s">
        <v>96</v>
      </c>
      <c r="E122" s="13">
        <v>642</v>
      </c>
      <c r="F122" s="14">
        <v>4282.2746847781618</v>
      </c>
      <c r="G122" s="14">
        <v>0</v>
      </c>
      <c r="H122" s="14">
        <v>0</v>
      </c>
      <c r="I122" s="14" t="s">
        <v>304</v>
      </c>
      <c r="J122" s="21">
        <f t="shared" si="6"/>
        <v>-4282.2746847781618</v>
      </c>
      <c r="K122" s="22">
        <f t="shared" si="7"/>
        <v>45716</v>
      </c>
      <c r="L122" s="22" t="s">
        <v>319</v>
      </c>
      <c r="M122" s="21"/>
    </row>
    <row r="123" spans="1:13" x14ac:dyDescent="0.3">
      <c r="A123" s="10">
        <v>217</v>
      </c>
      <c r="B123" s="11">
        <v>45716</v>
      </c>
      <c r="C123" s="12" t="s">
        <v>95</v>
      </c>
      <c r="D123" s="10" t="s">
        <v>96</v>
      </c>
      <c r="E123" s="13">
        <v>755</v>
      </c>
      <c r="F123" s="14">
        <v>0</v>
      </c>
      <c r="G123" s="14">
        <v>2246.1477098792357</v>
      </c>
      <c r="H123" s="14">
        <v>0</v>
      </c>
      <c r="I123" s="14" t="s">
        <v>310</v>
      </c>
      <c r="J123" s="21">
        <f t="shared" si="6"/>
        <v>2246.1477098792357</v>
      </c>
      <c r="K123" s="22">
        <f t="shared" si="7"/>
        <v>45716</v>
      </c>
      <c r="L123" s="22" t="s">
        <v>314</v>
      </c>
      <c r="M123" s="21"/>
    </row>
    <row r="124" spans="1:13" x14ac:dyDescent="0.3">
      <c r="A124" s="10">
        <v>218</v>
      </c>
      <c r="B124" s="11">
        <v>45715</v>
      </c>
      <c r="C124" s="12" t="s">
        <v>266</v>
      </c>
      <c r="D124" s="10" t="s">
        <v>90</v>
      </c>
      <c r="E124" s="13">
        <v>62900000000</v>
      </c>
      <c r="F124" s="14">
        <v>42.707080997428861</v>
      </c>
      <c r="G124" s="14">
        <v>0</v>
      </c>
      <c r="H124" s="14">
        <v>0</v>
      </c>
      <c r="I124" s="14" t="s">
        <v>301</v>
      </c>
      <c r="J124" s="21">
        <f t="shared" si="6"/>
        <v>-42.707080997428861</v>
      </c>
      <c r="K124" s="22">
        <f t="shared" si="7"/>
        <v>45716</v>
      </c>
      <c r="L124" s="22" t="s">
        <v>317</v>
      </c>
      <c r="M124" s="21"/>
    </row>
    <row r="125" spans="1:13" x14ac:dyDescent="0.3">
      <c r="A125" s="10">
        <v>219</v>
      </c>
      <c r="B125" s="11">
        <v>45703</v>
      </c>
      <c r="C125" s="12" t="s">
        <v>277</v>
      </c>
      <c r="D125" s="10" t="s">
        <v>93</v>
      </c>
      <c r="E125" s="13">
        <v>62900000001</v>
      </c>
      <c r="F125" s="14">
        <v>148.5754257776199</v>
      </c>
      <c r="G125" s="14">
        <v>0</v>
      </c>
      <c r="H125" s="14">
        <v>0</v>
      </c>
      <c r="I125" s="14" t="s">
        <v>302</v>
      </c>
      <c r="J125" s="21">
        <f t="shared" si="6"/>
        <v>-148.5754257776199</v>
      </c>
      <c r="K125" s="22">
        <f t="shared" si="7"/>
        <v>45716</v>
      </c>
      <c r="L125" s="22" t="s">
        <v>316</v>
      </c>
      <c r="M125" s="21"/>
    </row>
    <row r="126" spans="1:13" x14ac:dyDescent="0.3">
      <c r="A126" s="10">
        <v>221</v>
      </c>
      <c r="B126" s="11">
        <v>45714</v>
      </c>
      <c r="C126" s="12" t="s">
        <v>88</v>
      </c>
      <c r="D126" s="10" t="s">
        <v>89</v>
      </c>
      <c r="E126" s="13">
        <v>62900000000</v>
      </c>
      <c r="F126" s="14">
        <v>286.7780850114745</v>
      </c>
      <c r="G126" s="14">
        <v>0</v>
      </c>
      <c r="H126" s="14">
        <v>0</v>
      </c>
      <c r="I126" s="14" t="s">
        <v>301</v>
      </c>
      <c r="J126" s="21">
        <f t="shared" si="6"/>
        <v>-286.7780850114745</v>
      </c>
      <c r="K126" s="22">
        <f t="shared" si="7"/>
        <v>45716</v>
      </c>
      <c r="L126" s="22" t="s">
        <v>317</v>
      </c>
      <c r="M126" s="21"/>
    </row>
    <row r="127" spans="1:13" x14ac:dyDescent="0.3">
      <c r="A127" s="10">
        <v>222</v>
      </c>
      <c r="B127" s="11">
        <v>45714</v>
      </c>
      <c r="C127" s="12" t="s">
        <v>279</v>
      </c>
      <c r="D127" s="10" t="s">
        <v>94</v>
      </c>
      <c r="E127" s="13">
        <v>62900000001</v>
      </c>
      <c r="F127" s="14">
        <v>3.3470930390063964</v>
      </c>
      <c r="G127" s="14">
        <v>0</v>
      </c>
      <c r="H127" s="14">
        <v>0</v>
      </c>
      <c r="I127" s="14" t="s">
        <v>302</v>
      </c>
      <c r="J127" s="21">
        <f t="shared" si="6"/>
        <v>-3.3470930390063964</v>
      </c>
      <c r="K127" s="22">
        <f t="shared" si="7"/>
        <v>45716</v>
      </c>
      <c r="L127" s="22" t="s">
        <v>314</v>
      </c>
      <c r="M127" s="21"/>
    </row>
    <row r="128" spans="1:13" x14ac:dyDescent="0.3">
      <c r="A128" s="10">
        <v>222</v>
      </c>
      <c r="B128" s="11">
        <v>45714</v>
      </c>
      <c r="C128" s="12" t="s">
        <v>279</v>
      </c>
      <c r="D128" s="10" t="s">
        <v>94</v>
      </c>
      <c r="E128" s="13">
        <v>62900000001</v>
      </c>
      <c r="F128" s="14">
        <v>57.1144733426271</v>
      </c>
      <c r="G128" s="14">
        <v>0</v>
      </c>
      <c r="H128" s="14">
        <v>0</v>
      </c>
      <c r="I128" s="14" t="s">
        <v>302</v>
      </c>
      <c r="J128" s="21">
        <f t="shared" si="6"/>
        <v>-57.1144733426271</v>
      </c>
      <c r="K128" s="22">
        <f t="shared" si="7"/>
        <v>45716</v>
      </c>
      <c r="L128" s="22" t="s">
        <v>314</v>
      </c>
      <c r="M128" s="21"/>
    </row>
    <row r="129" spans="1:13" x14ac:dyDescent="0.3">
      <c r="A129" s="10">
        <v>223</v>
      </c>
      <c r="B129" s="11">
        <v>45715</v>
      </c>
      <c r="C129" s="12" t="s">
        <v>267</v>
      </c>
      <c r="D129" s="10" t="s">
        <v>91</v>
      </c>
      <c r="E129" s="13">
        <v>62900000000</v>
      </c>
      <c r="F129" s="14">
        <v>3.0415358193965352</v>
      </c>
      <c r="G129" s="14">
        <v>0</v>
      </c>
      <c r="H129" s="14">
        <v>0</v>
      </c>
      <c r="I129" s="14" t="s">
        <v>301</v>
      </c>
      <c r="J129" s="21">
        <f t="shared" si="6"/>
        <v>-3.0415358193965352</v>
      </c>
      <c r="K129" s="22">
        <f t="shared" si="7"/>
        <v>45716</v>
      </c>
      <c r="L129" s="22" t="s">
        <v>317</v>
      </c>
      <c r="M129" s="21"/>
    </row>
    <row r="130" spans="1:13" x14ac:dyDescent="0.3">
      <c r="A130" s="10">
        <v>224</v>
      </c>
      <c r="B130" s="11">
        <v>45716</v>
      </c>
      <c r="C130" s="12" t="s">
        <v>262</v>
      </c>
      <c r="D130" s="10" t="s">
        <v>92</v>
      </c>
      <c r="E130" s="13">
        <v>62900000000</v>
      </c>
      <c r="F130" s="14">
        <v>162.06230394250915</v>
      </c>
      <c r="G130" s="14">
        <v>0</v>
      </c>
      <c r="H130" s="14">
        <v>0</v>
      </c>
      <c r="I130" s="14" t="s">
        <v>301</v>
      </c>
      <c r="J130" s="21">
        <f t="shared" ref="J130:J161" si="8">G130-F130</f>
        <v>-162.06230394250915</v>
      </c>
      <c r="K130" s="22">
        <f t="shared" ref="K130:K161" si="9">EOMONTH(B130,0)</f>
        <v>45716</v>
      </c>
      <c r="L130" s="22" t="s">
        <v>316</v>
      </c>
      <c r="M130" s="21"/>
    </row>
    <row r="131" spans="1:13" x14ac:dyDescent="0.3">
      <c r="A131" s="10">
        <v>228</v>
      </c>
      <c r="B131" s="11">
        <v>45716</v>
      </c>
      <c r="C131" s="12" t="s">
        <v>253</v>
      </c>
      <c r="D131" s="10" t="s">
        <v>254</v>
      </c>
      <c r="E131" s="13">
        <v>62900000000</v>
      </c>
      <c r="F131" s="14">
        <v>1498.8191442642478</v>
      </c>
      <c r="G131" s="14">
        <v>0</v>
      </c>
      <c r="H131" s="14">
        <v>0</v>
      </c>
      <c r="I131" s="14" t="s">
        <v>301</v>
      </c>
      <c r="J131" s="21">
        <f t="shared" si="8"/>
        <v>-1498.8191442642478</v>
      </c>
      <c r="K131" s="22">
        <f t="shared" si="9"/>
        <v>45716</v>
      </c>
      <c r="L131" s="22" t="s">
        <v>314</v>
      </c>
      <c r="M131" s="21"/>
    </row>
    <row r="132" spans="1:13" x14ac:dyDescent="0.3">
      <c r="A132" s="10">
        <v>228</v>
      </c>
      <c r="B132" s="11">
        <v>45716</v>
      </c>
      <c r="C132" s="12" t="s">
        <v>253</v>
      </c>
      <c r="D132" s="10" t="s">
        <v>254</v>
      </c>
      <c r="E132" s="13">
        <v>62900000000</v>
      </c>
      <c r="F132" s="14">
        <v>94.560875507549483</v>
      </c>
      <c r="G132" s="14">
        <v>0</v>
      </c>
      <c r="H132" s="14">
        <v>0</v>
      </c>
      <c r="I132" s="14" t="s">
        <v>301</v>
      </c>
      <c r="J132" s="21">
        <f t="shared" si="8"/>
        <v>-94.560875507549483</v>
      </c>
      <c r="K132" s="22">
        <f t="shared" si="9"/>
        <v>45716</v>
      </c>
      <c r="L132" s="22" t="s">
        <v>314</v>
      </c>
      <c r="M132" s="21"/>
    </row>
    <row r="133" spans="1:13" x14ac:dyDescent="0.3">
      <c r="A133" s="10">
        <v>316</v>
      </c>
      <c r="B133" s="11">
        <v>45714</v>
      </c>
      <c r="C133" s="12" t="s">
        <v>161</v>
      </c>
      <c r="D133" s="10" t="s">
        <v>246</v>
      </c>
      <c r="E133" s="13">
        <v>62300</v>
      </c>
      <c r="F133" s="14">
        <v>402.87360618805104</v>
      </c>
      <c r="G133" s="14">
        <v>0</v>
      </c>
      <c r="H133" s="14">
        <v>0</v>
      </c>
      <c r="I133" s="14" t="s">
        <v>297</v>
      </c>
      <c r="J133" s="21">
        <f t="shared" si="8"/>
        <v>-402.87360618805104</v>
      </c>
      <c r="K133" s="22">
        <f t="shared" si="9"/>
        <v>45716</v>
      </c>
      <c r="L133" s="22" t="s">
        <v>314</v>
      </c>
      <c r="M133" s="21"/>
    </row>
    <row r="134" spans="1:13" x14ac:dyDescent="0.3">
      <c r="A134" s="10">
        <v>225</v>
      </c>
      <c r="B134" s="11">
        <v>45717</v>
      </c>
      <c r="C134" s="12" t="s">
        <v>272</v>
      </c>
      <c r="D134" s="10" t="s">
        <v>168</v>
      </c>
      <c r="E134" s="13">
        <v>62900000000</v>
      </c>
      <c r="F134" s="14">
        <v>29.850218089099013</v>
      </c>
      <c r="G134" s="14">
        <v>0</v>
      </c>
      <c r="H134" s="14">
        <v>0</v>
      </c>
      <c r="I134" s="14" t="s">
        <v>301</v>
      </c>
      <c r="J134" s="21">
        <f t="shared" si="8"/>
        <v>-29.850218089099013</v>
      </c>
      <c r="K134" s="22">
        <f t="shared" si="9"/>
        <v>45747</v>
      </c>
      <c r="L134" s="22" t="s">
        <v>315</v>
      </c>
      <c r="M134" s="21"/>
    </row>
    <row r="135" spans="1:13" x14ac:dyDescent="0.3">
      <c r="A135" s="10">
        <v>226</v>
      </c>
      <c r="B135" s="11">
        <v>45717</v>
      </c>
      <c r="C135" s="12" t="s">
        <v>273</v>
      </c>
      <c r="D135" s="10" t="s">
        <v>164</v>
      </c>
      <c r="E135" s="13">
        <v>621</v>
      </c>
      <c r="F135" s="14">
        <v>1582.1477357757556</v>
      </c>
      <c r="G135" s="14">
        <v>0</v>
      </c>
      <c r="H135" s="14">
        <v>0</v>
      </c>
      <c r="I135" s="14" t="s">
        <v>296</v>
      </c>
      <c r="J135" s="21">
        <f t="shared" si="8"/>
        <v>-1582.1477357757556</v>
      </c>
      <c r="K135" s="22">
        <f t="shared" si="9"/>
        <v>45747</v>
      </c>
      <c r="L135" s="22" t="s">
        <v>314</v>
      </c>
      <c r="M135" s="21"/>
    </row>
    <row r="136" spans="1:13" x14ac:dyDescent="0.3">
      <c r="A136" s="10">
        <v>238</v>
      </c>
      <c r="B136" s="11">
        <v>45717</v>
      </c>
      <c r="C136" s="12" t="s">
        <v>64</v>
      </c>
      <c r="D136" s="10" t="s">
        <v>16</v>
      </c>
      <c r="E136" s="13">
        <v>626</v>
      </c>
      <c r="F136" s="14">
        <v>0.90094548646760408</v>
      </c>
      <c r="G136" s="14">
        <v>0</v>
      </c>
      <c r="H136" s="14">
        <v>0</v>
      </c>
      <c r="I136" s="14" t="s">
        <v>299</v>
      </c>
      <c r="J136" s="21">
        <f t="shared" si="8"/>
        <v>-0.90094548646760408</v>
      </c>
      <c r="K136" s="22">
        <f t="shared" si="9"/>
        <v>45747</v>
      </c>
      <c r="L136" s="22" t="s">
        <v>314</v>
      </c>
      <c r="M136" s="21"/>
    </row>
    <row r="137" spans="1:13" x14ac:dyDescent="0.3">
      <c r="A137" s="10">
        <v>239</v>
      </c>
      <c r="B137" s="11">
        <v>45717</v>
      </c>
      <c r="C137" s="12" t="s">
        <v>64</v>
      </c>
      <c r="D137" s="10" t="s">
        <v>16</v>
      </c>
      <c r="E137" s="13">
        <v>626</v>
      </c>
      <c r="F137" s="14">
        <v>0.93498955643393877</v>
      </c>
      <c r="G137" s="14">
        <v>0</v>
      </c>
      <c r="H137" s="14">
        <v>0</v>
      </c>
      <c r="I137" s="14" t="s">
        <v>299</v>
      </c>
      <c r="J137" s="21">
        <f t="shared" si="8"/>
        <v>-0.93498955643393877</v>
      </c>
      <c r="K137" s="22">
        <f t="shared" si="9"/>
        <v>45747</v>
      </c>
      <c r="L137" s="22" t="s">
        <v>314</v>
      </c>
      <c r="M137" s="21"/>
    </row>
    <row r="138" spans="1:13" x14ac:dyDescent="0.3">
      <c r="A138" s="10">
        <v>240</v>
      </c>
      <c r="B138" s="11">
        <v>45717</v>
      </c>
      <c r="C138" s="12" t="s">
        <v>64</v>
      </c>
      <c r="D138" s="10" t="s">
        <v>199</v>
      </c>
      <c r="E138" s="13">
        <v>66230</v>
      </c>
      <c r="F138" s="14">
        <v>143.9434916226038</v>
      </c>
      <c r="G138" s="14">
        <v>0</v>
      </c>
      <c r="H138" s="14">
        <v>0</v>
      </c>
      <c r="I138" s="14" t="s">
        <v>305</v>
      </c>
      <c r="J138" s="21">
        <f t="shared" si="8"/>
        <v>-143.9434916226038</v>
      </c>
      <c r="K138" s="22">
        <f t="shared" si="9"/>
        <v>45747</v>
      </c>
      <c r="L138" s="22" t="s">
        <v>319</v>
      </c>
      <c r="M138" s="21"/>
    </row>
    <row r="139" spans="1:13" x14ac:dyDescent="0.3">
      <c r="A139" s="10">
        <v>241</v>
      </c>
      <c r="B139" s="11">
        <v>45717</v>
      </c>
      <c r="C139" s="12" t="s">
        <v>64</v>
      </c>
      <c r="D139" s="10" t="s">
        <v>16</v>
      </c>
      <c r="E139" s="13">
        <v>626</v>
      </c>
      <c r="F139" s="14">
        <v>0.89974831151179546</v>
      </c>
      <c r="G139" s="14">
        <v>0</v>
      </c>
      <c r="H139" s="14">
        <v>0</v>
      </c>
      <c r="I139" s="14" t="s">
        <v>299</v>
      </c>
      <c r="J139" s="21">
        <f t="shared" si="8"/>
        <v>-0.89974831151179546</v>
      </c>
      <c r="K139" s="22">
        <f t="shared" si="9"/>
        <v>45747</v>
      </c>
      <c r="L139" s="22" t="s">
        <v>314</v>
      </c>
      <c r="M139" s="21"/>
    </row>
    <row r="140" spans="1:13" x14ac:dyDescent="0.3">
      <c r="A140" s="10">
        <v>242</v>
      </c>
      <c r="B140" s="11">
        <v>45717</v>
      </c>
      <c r="C140" s="12" t="s">
        <v>64</v>
      </c>
      <c r="D140" s="10" t="s">
        <v>16</v>
      </c>
      <c r="E140" s="13">
        <v>626</v>
      </c>
      <c r="F140" s="14">
        <v>5.4950283575607033</v>
      </c>
      <c r="G140" s="14">
        <v>0</v>
      </c>
      <c r="H140" s="14">
        <v>0</v>
      </c>
      <c r="I140" s="14" t="s">
        <v>299</v>
      </c>
      <c r="J140" s="21">
        <f t="shared" si="8"/>
        <v>-5.4950283575607033</v>
      </c>
      <c r="K140" s="22">
        <f t="shared" si="9"/>
        <v>45747</v>
      </c>
      <c r="L140" s="22" t="s">
        <v>314</v>
      </c>
      <c r="M140" s="21"/>
    </row>
    <row r="141" spans="1:13" x14ac:dyDescent="0.3">
      <c r="A141" s="10">
        <v>243</v>
      </c>
      <c r="B141" s="11">
        <v>45717</v>
      </c>
      <c r="C141" s="12" t="s">
        <v>64</v>
      </c>
      <c r="D141" s="10" t="s">
        <v>18</v>
      </c>
      <c r="E141" s="13">
        <v>625</v>
      </c>
      <c r="F141" s="14">
        <v>23.514371779855949</v>
      </c>
      <c r="G141" s="14">
        <v>0</v>
      </c>
      <c r="H141" s="14">
        <v>0</v>
      </c>
      <c r="I141" s="14" t="s">
        <v>298</v>
      </c>
      <c r="J141" s="21">
        <f t="shared" si="8"/>
        <v>-23.514371779855949</v>
      </c>
      <c r="K141" s="22">
        <f t="shared" si="9"/>
        <v>45747</v>
      </c>
      <c r="L141" s="22" t="s">
        <v>314</v>
      </c>
      <c r="M141" s="21"/>
    </row>
    <row r="142" spans="1:13" x14ac:dyDescent="0.3">
      <c r="A142" s="10">
        <v>255</v>
      </c>
      <c r="B142" s="11">
        <v>45717</v>
      </c>
      <c r="C142" s="12" t="s">
        <v>159</v>
      </c>
      <c r="D142" s="10" t="s">
        <v>169</v>
      </c>
      <c r="E142" s="13">
        <v>62900000000</v>
      </c>
      <c r="F142" s="14">
        <v>35.132734616823527</v>
      </c>
      <c r="G142" s="14">
        <v>0</v>
      </c>
      <c r="H142" s="14">
        <v>0</v>
      </c>
      <c r="I142" s="14" t="s">
        <v>301</v>
      </c>
      <c r="J142" s="21">
        <f t="shared" si="8"/>
        <v>-35.132734616823527</v>
      </c>
      <c r="K142" s="22">
        <f t="shared" si="9"/>
        <v>45747</v>
      </c>
      <c r="L142" s="22" t="s">
        <v>314</v>
      </c>
      <c r="M142" s="21"/>
    </row>
    <row r="143" spans="1:13" x14ac:dyDescent="0.3">
      <c r="A143" s="10">
        <v>256</v>
      </c>
      <c r="B143" s="11">
        <v>45717</v>
      </c>
      <c r="C143" s="12" t="s">
        <v>170</v>
      </c>
      <c r="D143" s="10" t="s">
        <v>171</v>
      </c>
      <c r="E143" s="13">
        <v>62900000000</v>
      </c>
      <c r="F143" s="14">
        <v>286.8309971231842</v>
      </c>
      <c r="G143" s="14">
        <v>0</v>
      </c>
      <c r="H143" s="14">
        <v>0</v>
      </c>
      <c r="I143" s="14" t="s">
        <v>301</v>
      </c>
      <c r="J143" s="21">
        <f t="shared" si="8"/>
        <v>-286.8309971231842</v>
      </c>
      <c r="K143" s="22">
        <f t="shared" si="9"/>
        <v>45747</v>
      </c>
      <c r="L143" s="22" t="s">
        <v>320</v>
      </c>
      <c r="M143" s="21"/>
    </row>
    <row r="144" spans="1:13" x14ac:dyDescent="0.3">
      <c r="A144" s="10">
        <v>257</v>
      </c>
      <c r="B144" s="11">
        <v>45719</v>
      </c>
      <c r="C144" s="12" t="s">
        <v>9</v>
      </c>
      <c r="D144" s="10" t="s">
        <v>19</v>
      </c>
      <c r="E144" s="13">
        <v>62900000000</v>
      </c>
      <c r="F144" s="14">
        <v>68.058481464344226</v>
      </c>
      <c r="G144" s="14">
        <v>0</v>
      </c>
      <c r="H144" s="14">
        <v>0</v>
      </c>
      <c r="I144" s="14" t="s">
        <v>301</v>
      </c>
      <c r="J144" s="21">
        <f t="shared" si="8"/>
        <v>-68.058481464344226</v>
      </c>
      <c r="K144" s="22">
        <f t="shared" si="9"/>
        <v>45747</v>
      </c>
      <c r="L144" s="22" t="s">
        <v>314</v>
      </c>
      <c r="M144" s="21"/>
    </row>
    <row r="145" spans="1:13" x14ac:dyDescent="0.3">
      <c r="A145" s="10">
        <v>258</v>
      </c>
      <c r="B145" s="11">
        <v>45717</v>
      </c>
      <c r="C145" s="12" t="s">
        <v>242</v>
      </c>
      <c r="D145" s="10" t="s">
        <v>243</v>
      </c>
      <c r="E145" s="13">
        <v>70500000002</v>
      </c>
      <c r="F145" s="14">
        <v>0</v>
      </c>
      <c r="G145" s="14">
        <v>34.661766253637538</v>
      </c>
      <c r="H145" s="14">
        <v>0</v>
      </c>
      <c r="I145" s="14" t="s">
        <v>309</v>
      </c>
      <c r="J145" s="21">
        <f t="shared" si="8"/>
        <v>34.661766253637538</v>
      </c>
      <c r="K145" s="22">
        <f t="shared" si="9"/>
        <v>45747</v>
      </c>
      <c r="L145" s="22" t="s">
        <v>320</v>
      </c>
      <c r="M145" s="21"/>
    </row>
    <row r="146" spans="1:13" x14ac:dyDescent="0.3">
      <c r="A146" s="10">
        <v>259</v>
      </c>
      <c r="B146" s="11">
        <v>45717</v>
      </c>
      <c r="C146" s="12" t="s">
        <v>158</v>
      </c>
      <c r="D146" s="10" t="s">
        <v>244</v>
      </c>
      <c r="E146" s="13">
        <v>70500000002</v>
      </c>
      <c r="F146" s="14">
        <v>0</v>
      </c>
      <c r="G146" s="14">
        <v>180.59114389740324</v>
      </c>
      <c r="H146" s="14">
        <v>0</v>
      </c>
      <c r="I146" s="14" t="s">
        <v>309</v>
      </c>
      <c r="J146" s="21">
        <f t="shared" si="8"/>
        <v>180.59114389740324</v>
      </c>
      <c r="K146" s="22">
        <f t="shared" si="9"/>
        <v>45747</v>
      </c>
      <c r="L146" s="22" t="s">
        <v>320</v>
      </c>
      <c r="M146" s="21"/>
    </row>
    <row r="147" spans="1:13" x14ac:dyDescent="0.3">
      <c r="A147" s="10">
        <v>260</v>
      </c>
      <c r="B147" s="11">
        <v>45717</v>
      </c>
      <c r="C147" s="12" t="s">
        <v>160</v>
      </c>
      <c r="D147" s="10" t="s">
        <v>245</v>
      </c>
      <c r="E147" s="13">
        <v>70500000002</v>
      </c>
      <c r="F147" s="14">
        <v>0</v>
      </c>
      <c r="G147" s="14">
        <v>106.08892559018761</v>
      </c>
      <c r="H147" s="14">
        <v>0</v>
      </c>
      <c r="I147" s="14" t="s">
        <v>309</v>
      </c>
      <c r="J147" s="21">
        <f t="shared" si="8"/>
        <v>106.08892559018761</v>
      </c>
      <c r="K147" s="22">
        <f t="shared" si="9"/>
        <v>45747</v>
      </c>
      <c r="L147" s="22" t="s">
        <v>320</v>
      </c>
      <c r="M147" s="21"/>
    </row>
    <row r="148" spans="1:13" x14ac:dyDescent="0.3">
      <c r="A148" s="10">
        <v>261</v>
      </c>
      <c r="B148" s="11">
        <v>45717</v>
      </c>
      <c r="C148" s="12" t="s">
        <v>200</v>
      </c>
      <c r="D148" s="10" t="s">
        <v>201</v>
      </c>
      <c r="E148" s="13">
        <v>70500000000</v>
      </c>
      <c r="F148" s="14">
        <v>0</v>
      </c>
      <c r="G148" s="14">
        <v>1096.7717920653324</v>
      </c>
      <c r="H148" s="14">
        <v>0</v>
      </c>
      <c r="I148" s="14" t="s">
        <v>307</v>
      </c>
      <c r="J148" s="21">
        <f t="shared" si="8"/>
        <v>1096.7717920653324</v>
      </c>
      <c r="K148" s="22">
        <f t="shared" si="9"/>
        <v>45747</v>
      </c>
      <c r="L148" s="22" t="s">
        <v>321</v>
      </c>
      <c r="M148" s="21"/>
    </row>
    <row r="149" spans="1:13" x14ac:dyDescent="0.3">
      <c r="A149" s="10">
        <v>273</v>
      </c>
      <c r="B149" s="11">
        <v>45724</v>
      </c>
      <c r="C149" s="12" t="s">
        <v>64</v>
      </c>
      <c r="D149" s="10" t="s">
        <v>166</v>
      </c>
      <c r="E149" s="13">
        <v>626</v>
      </c>
      <c r="F149" s="14">
        <v>1.7808868307899242</v>
      </c>
      <c r="G149" s="14">
        <v>0</v>
      </c>
      <c r="H149" s="14">
        <v>0</v>
      </c>
      <c r="I149" s="14" t="s">
        <v>299</v>
      </c>
      <c r="J149" s="21">
        <f t="shared" si="8"/>
        <v>-1.7808868307899242</v>
      </c>
      <c r="K149" s="22">
        <f t="shared" si="9"/>
        <v>45747</v>
      </c>
      <c r="L149" s="22" t="s">
        <v>314</v>
      </c>
      <c r="M149" s="21"/>
    </row>
    <row r="150" spans="1:13" x14ac:dyDescent="0.3">
      <c r="A150" s="10">
        <v>279</v>
      </c>
      <c r="B150" s="11">
        <v>45725</v>
      </c>
      <c r="C150" s="12" t="s">
        <v>293</v>
      </c>
      <c r="D150" s="10" t="s">
        <v>241</v>
      </c>
      <c r="E150" s="13">
        <v>70500000001</v>
      </c>
      <c r="F150" s="14">
        <v>0</v>
      </c>
      <c r="G150" s="14">
        <v>17.569804422112561</v>
      </c>
      <c r="H150" s="14">
        <v>0</v>
      </c>
      <c r="I150" s="14" t="s">
        <v>308</v>
      </c>
      <c r="J150" s="21">
        <f t="shared" si="8"/>
        <v>17.569804422112561</v>
      </c>
      <c r="K150" s="22">
        <f t="shared" si="9"/>
        <v>45747</v>
      </c>
      <c r="L150" s="22" t="s">
        <v>315</v>
      </c>
      <c r="M150" s="21"/>
    </row>
    <row r="151" spans="1:13" x14ac:dyDescent="0.3">
      <c r="A151" s="10">
        <v>294</v>
      </c>
      <c r="B151" s="11">
        <v>45741</v>
      </c>
      <c r="C151" s="12" t="s">
        <v>202</v>
      </c>
      <c r="D151" s="10" t="s">
        <v>203</v>
      </c>
      <c r="E151" s="13">
        <v>70500000000</v>
      </c>
      <c r="F151" s="14">
        <v>0</v>
      </c>
      <c r="G151" s="14">
        <v>3136.1421304780056</v>
      </c>
      <c r="H151" s="14">
        <v>0</v>
      </c>
      <c r="I151" s="14" t="s">
        <v>307</v>
      </c>
      <c r="J151" s="21">
        <f t="shared" si="8"/>
        <v>3136.1421304780056</v>
      </c>
      <c r="K151" s="22">
        <f t="shared" si="9"/>
        <v>45747</v>
      </c>
      <c r="L151" s="22" t="s">
        <v>318</v>
      </c>
      <c r="M151" s="21"/>
    </row>
    <row r="152" spans="1:13" x14ac:dyDescent="0.3">
      <c r="A152" s="10">
        <v>295</v>
      </c>
      <c r="B152" s="11">
        <v>45741</v>
      </c>
      <c r="C152" s="12" t="s">
        <v>204</v>
      </c>
      <c r="D152" s="10" t="s">
        <v>205</v>
      </c>
      <c r="E152" s="13">
        <v>70500000000</v>
      </c>
      <c r="F152" s="14">
        <v>0</v>
      </c>
      <c r="G152" s="14">
        <v>1882.1139554392141</v>
      </c>
      <c r="H152" s="14">
        <v>0</v>
      </c>
      <c r="I152" s="14" t="s">
        <v>307</v>
      </c>
      <c r="J152" s="21">
        <f t="shared" si="8"/>
        <v>1882.1139554392141</v>
      </c>
      <c r="K152" s="22">
        <f t="shared" si="9"/>
        <v>45747</v>
      </c>
      <c r="L152" s="22" t="s">
        <v>318</v>
      </c>
      <c r="M152" s="21"/>
    </row>
    <row r="153" spans="1:13" x14ac:dyDescent="0.3">
      <c r="A153" s="10">
        <v>296</v>
      </c>
      <c r="B153" s="11">
        <v>45741</v>
      </c>
      <c r="C153" s="12" t="s">
        <v>206</v>
      </c>
      <c r="D153" s="10" t="s">
        <v>207</v>
      </c>
      <c r="E153" s="13">
        <v>70500000000</v>
      </c>
      <c r="F153" s="14">
        <v>0</v>
      </c>
      <c r="G153" s="14">
        <v>2066.0882279672137</v>
      </c>
      <c r="H153" s="14">
        <v>0</v>
      </c>
      <c r="I153" s="14" t="s">
        <v>307</v>
      </c>
      <c r="J153" s="21">
        <f t="shared" si="8"/>
        <v>2066.0882279672137</v>
      </c>
      <c r="K153" s="22">
        <f t="shared" si="9"/>
        <v>45747</v>
      </c>
      <c r="L153" s="22" t="s">
        <v>318</v>
      </c>
      <c r="M153" s="21"/>
    </row>
    <row r="154" spans="1:13" x14ac:dyDescent="0.3">
      <c r="A154" s="10">
        <v>297</v>
      </c>
      <c r="B154" s="11">
        <v>45741</v>
      </c>
      <c r="C154" s="12" t="s">
        <v>208</v>
      </c>
      <c r="D154" s="10" t="s">
        <v>209</v>
      </c>
      <c r="E154" s="13">
        <v>70500000000</v>
      </c>
      <c r="F154" s="14">
        <v>0</v>
      </c>
      <c r="G154" s="14">
        <v>1717.7730491706375</v>
      </c>
      <c r="H154" s="14">
        <v>0</v>
      </c>
      <c r="I154" s="14" t="s">
        <v>307</v>
      </c>
      <c r="J154" s="21">
        <f t="shared" si="8"/>
        <v>1717.7730491706375</v>
      </c>
      <c r="K154" s="22">
        <f t="shared" si="9"/>
        <v>45747</v>
      </c>
      <c r="L154" s="22" t="s">
        <v>318</v>
      </c>
      <c r="M154" s="21"/>
    </row>
    <row r="155" spans="1:13" x14ac:dyDescent="0.3">
      <c r="A155" s="10">
        <v>298</v>
      </c>
      <c r="B155" s="11">
        <v>45741</v>
      </c>
      <c r="C155" s="12" t="s">
        <v>210</v>
      </c>
      <c r="D155" s="10" t="s">
        <v>211</v>
      </c>
      <c r="E155" s="13">
        <v>70500000000</v>
      </c>
      <c r="F155" s="14">
        <v>0</v>
      </c>
      <c r="G155" s="14">
        <v>495.63784093275177</v>
      </c>
      <c r="H155" s="14">
        <v>0</v>
      </c>
      <c r="I155" s="14" t="s">
        <v>307</v>
      </c>
      <c r="J155" s="21">
        <f t="shared" si="8"/>
        <v>495.63784093275177</v>
      </c>
      <c r="K155" s="22">
        <f t="shared" si="9"/>
        <v>45747</v>
      </c>
      <c r="L155" s="22" t="s">
        <v>318</v>
      </c>
      <c r="M155" s="21"/>
    </row>
    <row r="156" spans="1:13" x14ac:dyDescent="0.3">
      <c r="A156" s="10">
        <v>299</v>
      </c>
      <c r="B156" s="11">
        <v>45741</v>
      </c>
      <c r="C156" s="12" t="s">
        <v>212</v>
      </c>
      <c r="D156" s="10" t="s">
        <v>213</v>
      </c>
      <c r="E156" s="13">
        <v>70500000000</v>
      </c>
      <c r="F156" s="14">
        <v>0</v>
      </c>
      <c r="G156" s="14">
        <v>1993.6716203979925</v>
      </c>
      <c r="H156" s="14">
        <v>0</v>
      </c>
      <c r="I156" s="14" t="s">
        <v>307</v>
      </c>
      <c r="J156" s="21">
        <f t="shared" si="8"/>
        <v>1993.6716203979925</v>
      </c>
      <c r="K156" s="22">
        <f t="shared" si="9"/>
        <v>45747</v>
      </c>
      <c r="L156" s="22" t="s">
        <v>318</v>
      </c>
      <c r="M156" s="21"/>
    </row>
    <row r="157" spans="1:13" x14ac:dyDescent="0.3">
      <c r="A157" s="10">
        <v>300</v>
      </c>
      <c r="B157" s="11">
        <v>45741</v>
      </c>
      <c r="C157" s="12" t="s">
        <v>214</v>
      </c>
      <c r="D157" s="10" t="s">
        <v>215</v>
      </c>
      <c r="E157" s="13">
        <v>70500000000</v>
      </c>
      <c r="F157" s="14">
        <v>0</v>
      </c>
      <c r="G157" s="14">
        <v>1866.2167165725202</v>
      </c>
      <c r="H157" s="14">
        <v>0</v>
      </c>
      <c r="I157" s="14" t="s">
        <v>307</v>
      </c>
      <c r="J157" s="21">
        <f t="shared" si="8"/>
        <v>1866.2167165725202</v>
      </c>
      <c r="K157" s="22">
        <f t="shared" si="9"/>
        <v>45747</v>
      </c>
      <c r="L157" s="22" t="s">
        <v>318</v>
      </c>
      <c r="M157" s="21"/>
    </row>
    <row r="158" spans="1:13" x14ac:dyDescent="0.3">
      <c r="A158" s="10">
        <v>301</v>
      </c>
      <c r="B158" s="11">
        <v>45741</v>
      </c>
      <c r="C158" s="12" t="s">
        <v>216</v>
      </c>
      <c r="D158" s="10" t="s">
        <v>217</v>
      </c>
      <c r="E158" s="13">
        <v>70500000000</v>
      </c>
      <c r="F158" s="14">
        <v>0</v>
      </c>
      <c r="G158" s="14">
        <v>3106.3967201642668</v>
      </c>
      <c r="H158" s="14">
        <v>0</v>
      </c>
      <c r="I158" s="14" t="s">
        <v>307</v>
      </c>
      <c r="J158" s="21">
        <f t="shared" si="8"/>
        <v>3106.3967201642668</v>
      </c>
      <c r="K158" s="22">
        <f t="shared" si="9"/>
        <v>45747</v>
      </c>
      <c r="L158" s="22" t="s">
        <v>318</v>
      </c>
      <c r="M158" s="21"/>
    </row>
    <row r="159" spans="1:13" x14ac:dyDescent="0.3">
      <c r="A159" s="10">
        <v>302</v>
      </c>
      <c r="B159" s="11">
        <v>45741</v>
      </c>
      <c r="C159" s="12" t="s">
        <v>218</v>
      </c>
      <c r="D159" s="10" t="s">
        <v>219</v>
      </c>
      <c r="E159" s="13">
        <v>70500000000</v>
      </c>
      <c r="F159" s="14">
        <v>0</v>
      </c>
      <c r="G159" s="14">
        <v>2370.8298449129406</v>
      </c>
      <c r="H159" s="14">
        <v>0</v>
      </c>
      <c r="I159" s="14" t="s">
        <v>307</v>
      </c>
      <c r="J159" s="21">
        <f t="shared" si="8"/>
        <v>2370.8298449129406</v>
      </c>
      <c r="K159" s="22">
        <f t="shared" si="9"/>
        <v>45747</v>
      </c>
      <c r="L159" s="22" t="s">
        <v>318</v>
      </c>
      <c r="M159" s="21"/>
    </row>
    <row r="160" spans="1:13" x14ac:dyDescent="0.3">
      <c r="A160" s="10">
        <v>303</v>
      </c>
      <c r="B160" s="11">
        <v>45741</v>
      </c>
      <c r="C160" s="12" t="s">
        <v>155</v>
      </c>
      <c r="D160" s="10" t="s">
        <v>220</v>
      </c>
      <c r="E160" s="13">
        <v>70500000000</v>
      </c>
      <c r="F160" s="14">
        <v>0</v>
      </c>
      <c r="G160" s="14">
        <v>2958.7322147118011</v>
      </c>
      <c r="H160" s="14">
        <v>0</v>
      </c>
      <c r="I160" s="14" t="s">
        <v>307</v>
      </c>
      <c r="J160" s="21">
        <f t="shared" si="8"/>
        <v>2958.7322147118011</v>
      </c>
      <c r="K160" s="22">
        <f t="shared" si="9"/>
        <v>45747</v>
      </c>
      <c r="L160" s="22" t="s">
        <v>318</v>
      </c>
      <c r="M160" s="21"/>
    </row>
    <row r="161" spans="1:13" x14ac:dyDescent="0.3">
      <c r="A161" s="10">
        <v>304</v>
      </c>
      <c r="B161" s="11">
        <v>45741</v>
      </c>
      <c r="C161" s="12" t="s">
        <v>221</v>
      </c>
      <c r="D161" s="10" t="s">
        <v>222</v>
      </c>
      <c r="E161" s="13">
        <v>70500000000</v>
      </c>
      <c r="F161" s="14">
        <v>0</v>
      </c>
      <c r="G161" s="14">
        <v>570.95638534042109</v>
      </c>
      <c r="H161" s="14">
        <v>0</v>
      </c>
      <c r="I161" s="14" t="s">
        <v>307</v>
      </c>
      <c r="J161" s="21">
        <f t="shared" si="8"/>
        <v>570.95638534042109</v>
      </c>
      <c r="K161" s="22">
        <f t="shared" si="9"/>
        <v>45747</v>
      </c>
      <c r="L161" s="22" t="s">
        <v>318</v>
      </c>
      <c r="M161" s="21"/>
    </row>
    <row r="162" spans="1:13" x14ac:dyDescent="0.3">
      <c r="A162" s="10">
        <v>305</v>
      </c>
      <c r="B162" s="11">
        <v>45741</v>
      </c>
      <c r="C162" s="12" t="s">
        <v>223</v>
      </c>
      <c r="D162" s="10" t="s">
        <v>224</v>
      </c>
      <c r="E162" s="13">
        <v>70500000000</v>
      </c>
      <c r="F162" s="14">
        <v>0</v>
      </c>
      <c r="G162" s="14">
        <v>1460.682486229163</v>
      </c>
      <c r="H162" s="14">
        <v>0</v>
      </c>
      <c r="I162" s="14" t="s">
        <v>307</v>
      </c>
      <c r="J162" s="21">
        <f t="shared" ref="J162:J193" si="10">G162-F162</f>
        <v>1460.682486229163</v>
      </c>
      <c r="K162" s="22">
        <f t="shared" ref="K162:K193" si="11">EOMONTH(B162,0)</f>
        <v>45747</v>
      </c>
      <c r="L162" s="22" t="s">
        <v>318</v>
      </c>
      <c r="M162" s="21"/>
    </row>
    <row r="163" spans="1:13" x14ac:dyDescent="0.3">
      <c r="A163" s="10">
        <v>306</v>
      </c>
      <c r="B163" s="11">
        <v>45741</v>
      </c>
      <c r="C163" s="12" t="s">
        <v>225</v>
      </c>
      <c r="D163" s="10" t="s">
        <v>226</v>
      </c>
      <c r="E163" s="13">
        <v>70500000000</v>
      </c>
      <c r="F163" s="14">
        <v>0</v>
      </c>
      <c r="G163" s="14">
        <v>1806.1706652490291</v>
      </c>
      <c r="H163" s="14">
        <v>0</v>
      </c>
      <c r="I163" s="14" t="s">
        <v>307</v>
      </c>
      <c r="J163" s="21">
        <f t="shared" si="10"/>
        <v>1806.1706652490291</v>
      </c>
      <c r="K163" s="22">
        <f t="shared" si="11"/>
        <v>45747</v>
      </c>
      <c r="L163" s="22" t="s">
        <v>318</v>
      </c>
      <c r="M163" s="21"/>
    </row>
    <row r="164" spans="1:13" x14ac:dyDescent="0.3">
      <c r="A164" s="10">
        <v>307</v>
      </c>
      <c r="B164" s="11">
        <v>45741</v>
      </c>
      <c r="C164" s="12" t="s">
        <v>156</v>
      </c>
      <c r="D164" s="10" t="s">
        <v>227</v>
      </c>
      <c r="E164" s="13">
        <v>70500000000</v>
      </c>
      <c r="F164" s="14">
        <v>0</v>
      </c>
      <c r="G164" s="14">
        <v>155.08123174805544</v>
      </c>
      <c r="H164" s="14">
        <v>0</v>
      </c>
      <c r="I164" s="14" t="s">
        <v>307</v>
      </c>
      <c r="J164" s="21">
        <f t="shared" si="10"/>
        <v>155.08123174805544</v>
      </c>
      <c r="K164" s="22">
        <f t="shared" si="11"/>
        <v>45747</v>
      </c>
      <c r="L164" s="22" t="s">
        <v>318</v>
      </c>
      <c r="M164" s="21"/>
    </row>
    <row r="165" spans="1:13" x14ac:dyDescent="0.3">
      <c r="A165" s="10">
        <v>309</v>
      </c>
      <c r="B165" s="11">
        <v>45741</v>
      </c>
      <c r="C165" s="12" t="s">
        <v>228</v>
      </c>
      <c r="D165" s="10" t="s">
        <v>229</v>
      </c>
      <c r="E165" s="13">
        <v>70500000000</v>
      </c>
      <c r="F165" s="14">
        <v>0</v>
      </c>
      <c r="G165" s="14">
        <v>2109.6187123631444</v>
      </c>
      <c r="H165" s="14">
        <v>0</v>
      </c>
      <c r="I165" s="14" t="s">
        <v>307</v>
      </c>
      <c r="J165" s="21">
        <f t="shared" si="10"/>
        <v>2109.6187123631444</v>
      </c>
      <c r="K165" s="22">
        <f t="shared" si="11"/>
        <v>45747</v>
      </c>
      <c r="L165" s="22" t="s">
        <v>318</v>
      </c>
      <c r="M165" s="21"/>
    </row>
    <row r="166" spans="1:13" x14ac:dyDescent="0.3">
      <c r="A166" s="10">
        <v>310</v>
      </c>
      <c r="B166" s="11">
        <v>45741</v>
      </c>
      <c r="C166" s="12" t="s">
        <v>230</v>
      </c>
      <c r="D166" s="10" t="s">
        <v>231</v>
      </c>
      <c r="E166" s="13">
        <v>70500000000</v>
      </c>
      <c r="F166" s="14">
        <v>0</v>
      </c>
      <c r="G166" s="14">
        <v>2334.254199862326</v>
      </c>
      <c r="H166" s="14">
        <v>0</v>
      </c>
      <c r="I166" s="14" t="s">
        <v>307</v>
      </c>
      <c r="J166" s="21">
        <f t="shared" si="10"/>
        <v>2334.254199862326</v>
      </c>
      <c r="K166" s="22">
        <f t="shared" si="11"/>
        <v>45747</v>
      </c>
      <c r="L166" s="22" t="s">
        <v>318</v>
      </c>
      <c r="M166" s="21"/>
    </row>
    <row r="167" spans="1:13" x14ac:dyDescent="0.3">
      <c r="A167" s="10">
        <v>311</v>
      </c>
      <c r="B167" s="11">
        <v>45741</v>
      </c>
      <c r="C167" s="12" t="s">
        <v>232</v>
      </c>
      <c r="D167" s="10" t="s">
        <v>233</v>
      </c>
      <c r="E167" s="13">
        <v>70500000000</v>
      </c>
      <c r="F167" s="14">
        <v>0</v>
      </c>
      <c r="G167" s="14">
        <v>4459.6708016250823</v>
      </c>
      <c r="H167" s="14">
        <v>0</v>
      </c>
      <c r="I167" s="14" t="s">
        <v>307</v>
      </c>
      <c r="J167" s="21">
        <f t="shared" si="10"/>
        <v>4459.6708016250823</v>
      </c>
      <c r="K167" s="22">
        <f t="shared" si="11"/>
        <v>45747</v>
      </c>
      <c r="L167" s="22" t="s">
        <v>318</v>
      </c>
      <c r="M167" s="21"/>
    </row>
    <row r="168" spans="1:13" x14ac:dyDescent="0.3">
      <c r="A168" s="10">
        <v>312</v>
      </c>
      <c r="B168" s="11">
        <v>45741</v>
      </c>
      <c r="C168" s="12" t="s">
        <v>234</v>
      </c>
      <c r="D168" s="10" t="s">
        <v>235</v>
      </c>
      <c r="E168" s="13">
        <v>70500000000</v>
      </c>
      <c r="F168" s="14">
        <v>0</v>
      </c>
      <c r="G168" s="14">
        <v>3234.4857738396108</v>
      </c>
      <c r="H168" s="14">
        <v>0</v>
      </c>
      <c r="I168" s="14" t="s">
        <v>307</v>
      </c>
      <c r="J168" s="21">
        <f t="shared" si="10"/>
        <v>3234.4857738396108</v>
      </c>
      <c r="K168" s="22">
        <f t="shared" si="11"/>
        <v>45747</v>
      </c>
      <c r="L168" s="22" t="s">
        <v>318</v>
      </c>
      <c r="M168" s="21"/>
    </row>
    <row r="169" spans="1:13" x14ac:dyDescent="0.3">
      <c r="A169" s="10">
        <v>313</v>
      </c>
      <c r="B169" s="11">
        <v>45741</v>
      </c>
      <c r="C169" s="12" t="s">
        <v>236</v>
      </c>
      <c r="D169" s="10" t="s">
        <v>237</v>
      </c>
      <c r="E169" s="13">
        <v>70500000000</v>
      </c>
      <c r="F169" s="14">
        <v>0</v>
      </c>
      <c r="G169" s="14">
        <v>1052.4613637058592</v>
      </c>
      <c r="H169" s="14">
        <v>0</v>
      </c>
      <c r="I169" s="14" t="s">
        <v>307</v>
      </c>
      <c r="J169" s="21">
        <f t="shared" si="10"/>
        <v>1052.4613637058592</v>
      </c>
      <c r="K169" s="22">
        <f t="shared" si="11"/>
        <v>45747</v>
      </c>
      <c r="L169" s="22" t="s">
        <v>318</v>
      </c>
      <c r="M169" s="21"/>
    </row>
    <row r="170" spans="1:13" x14ac:dyDescent="0.3">
      <c r="A170" s="10">
        <v>314</v>
      </c>
      <c r="B170" s="11">
        <v>45741</v>
      </c>
      <c r="C170" s="12" t="s">
        <v>163</v>
      </c>
      <c r="D170" s="10" t="s">
        <v>238</v>
      </c>
      <c r="E170" s="13">
        <v>70500000000</v>
      </c>
      <c r="F170" s="14">
        <v>0</v>
      </c>
      <c r="G170" s="14">
        <v>1133.6930854852642</v>
      </c>
      <c r="H170" s="14">
        <v>0</v>
      </c>
      <c r="I170" s="14" t="s">
        <v>307</v>
      </c>
      <c r="J170" s="21">
        <f t="shared" si="10"/>
        <v>1133.6930854852642</v>
      </c>
      <c r="K170" s="22">
        <f t="shared" si="11"/>
        <v>45747</v>
      </c>
      <c r="L170" s="22" t="s">
        <v>318</v>
      </c>
      <c r="M170" s="21"/>
    </row>
    <row r="171" spans="1:13" x14ac:dyDescent="0.3">
      <c r="A171" s="10">
        <v>315</v>
      </c>
      <c r="B171" s="11">
        <v>45741</v>
      </c>
      <c r="C171" s="12" t="s">
        <v>239</v>
      </c>
      <c r="D171" s="10" t="s">
        <v>240</v>
      </c>
      <c r="E171" s="13">
        <v>70500000000</v>
      </c>
      <c r="F171" s="14">
        <v>0</v>
      </c>
      <c r="G171" s="14">
        <v>1050.7217153640693</v>
      </c>
      <c r="H171" s="14">
        <v>0</v>
      </c>
      <c r="I171" s="14" t="s">
        <v>307</v>
      </c>
      <c r="J171" s="21">
        <f t="shared" si="10"/>
        <v>1050.7217153640693</v>
      </c>
      <c r="K171" s="22">
        <f t="shared" si="11"/>
        <v>45747</v>
      </c>
      <c r="L171" s="22" t="s">
        <v>318</v>
      </c>
      <c r="M171" s="21"/>
    </row>
    <row r="172" spans="1:13" x14ac:dyDescent="0.3">
      <c r="A172" s="10">
        <v>317</v>
      </c>
      <c r="B172" s="11">
        <v>45731</v>
      </c>
      <c r="C172" s="12" t="s">
        <v>154</v>
      </c>
      <c r="D172" s="10" t="s">
        <v>165</v>
      </c>
      <c r="E172" s="13">
        <v>621</v>
      </c>
      <c r="F172" s="14">
        <v>387.02686990932239</v>
      </c>
      <c r="G172" s="14">
        <v>0</v>
      </c>
      <c r="H172" s="14">
        <v>0</v>
      </c>
      <c r="I172" s="14" t="s">
        <v>296</v>
      </c>
      <c r="J172" s="21">
        <f t="shared" si="10"/>
        <v>-387.02686990932239</v>
      </c>
      <c r="K172" s="22">
        <f t="shared" si="11"/>
        <v>45747</v>
      </c>
      <c r="L172" s="22" t="s">
        <v>314</v>
      </c>
      <c r="M172" s="21"/>
    </row>
    <row r="173" spans="1:13" x14ac:dyDescent="0.3">
      <c r="A173" s="10">
        <v>318</v>
      </c>
      <c r="B173" s="11">
        <v>45731</v>
      </c>
      <c r="C173" s="12" t="s">
        <v>188</v>
      </c>
      <c r="D173" s="10" t="s">
        <v>189</v>
      </c>
      <c r="E173" s="13">
        <v>62900000001</v>
      </c>
      <c r="F173" s="14">
        <v>12.201725511007009</v>
      </c>
      <c r="G173" s="14">
        <v>0</v>
      </c>
      <c r="H173" s="14">
        <v>0</v>
      </c>
      <c r="I173" s="14" t="s">
        <v>302</v>
      </c>
      <c r="J173" s="21">
        <f t="shared" si="10"/>
        <v>-12.201725511007009</v>
      </c>
      <c r="K173" s="22">
        <f t="shared" si="11"/>
        <v>45747</v>
      </c>
      <c r="L173" s="22" t="s">
        <v>314</v>
      </c>
      <c r="M173" s="21"/>
    </row>
    <row r="174" spans="1:13" x14ac:dyDescent="0.3">
      <c r="A174" s="10">
        <v>319</v>
      </c>
      <c r="B174" s="11">
        <v>45731</v>
      </c>
      <c r="C174" s="12" t="s">
        <v>172</v>
      </c>
      <c r="D174" s="10" t="s">
        <v>173</v>
      </c>
      <c r="E174" s="13">
        <v>62900000000</v>
      </c>
      <c r="F174" s="14">
        <v>21.919827588337725</v>
      </c>
      <c r="G174" s="14">
        <v>0</v>
      </c>
      <c r="H174" s="14">
        <v>0</v>
      </c>
      <c r="I174" s="14" t="s">
        <v>301</v>
      </c>
      <c r="J174" s="21">
        <f t="shared" si="10"/>
        <v>-21.919827588337725</v>
      </c>
      <c r="K174" s="22">
        <f t="shared" si="11"/>
        <v>45747</v>
      </c>
      <c r="L174" s="22" t="s">
        <v>314</v>
      </c>
      <c r="M174" s="21"/>
    </row>
    <row r="175" spans="1:13" x14ac:dyDescent="0.3">
      <c r="A175" s="10">
        <v>320</v>
      </c>
      <c r="B175" s="11">
        <v>45733</v>
      </c>
      <c r="C175" s="12" t="s">
        <v>9</v>
      </c>
      <c r="D175" s="10" t="s">
        <v>19</v>
      </c>
      <c r="E175" s="13">
        <v>62900000000</v>
      </c>
      <c r="F175" s="14">
        <v>88.597784007531402</v>
      </c>
      <c r="G175" s="14">
        <v>0</v>
      </c>
      <c r="H175" s="14">
        <v>0</v>
      </c>
      <c r="I175" s="14" t="s">
        <v>301</v>
      </c>
      <c r="J175" s="21">
        <f t="shared" si="10"/>
        <v>-88.597784007531402</v>
      </c>
      <c r="K175" s="22">
        <f t="shared" si="11"/>
        <v>45747</v>
      </c>
      <c r="L175" s="22" t="s">
        <v>314</v>
      </c>
      <c r="M175" s="21"/>
    </row>
    <row r="176" spans="1:13" x14ac:dyDescent="0.3">
      <c r="A176" s="10">
        <v>322</v>
      </c>
      <c r="B176" s="11">
        <v>45739</v>
      </c>
      <c r="C176" s="12" t="s">
        <v>9</v>
      </c>
      <c r="D176" s="10" t="s">
        <v>19</v>
      </c>
      <c r="E176" s="13">
        <v>62900000000</v>
      </c>
      <c r="F176" s="14">
        <v>48.980496873599407</v>
      </c>
      <c r="G176" s="14">
        <v>0</v>
      </c>
      <c r="H176" s="14">
        <v>0</v>
      </c>
      <c r="I176" s="14" t="s">
        <v>301</v>
      </c>
      <c r="J176" s="21">
        <f t="shared" si="10"/>
        <v>-48.980496873599407</v>
      </c>
      <c r="K176" s="22">
        <f t="shared" si="11"/>
        <v>45747</v>
      </c>
      <c r="L176" s="22" t="s">
        <v>314</v>
      </c>
      <c r="M176" s="21"/>
    </row>
    <row r="177" spans="1:13" x14ac:dyDescent="0.3">
      <c r="A177" s="10">
        <v>323</v>
      </c>
      <c r="B177" s="11">
        <v>45740</v>
      </c>
      <c r="C177" s="12" t="s">
        <v>157</v>
      </c>
      <c r="D177" s="10" t="s">
        <v>174</v>
      </c>
      <c r="E177" s="13">
        <v>62900000000</v>
      </c>
      <c r="F177" s="14">
        <v>28.709673207107894</v>
      </c>
      <c r="G177" s="14">
        <v>0</v>
      </c>
      <c r="H177" s="14">
        <v>0</v>
      </c>
      <c r="I177" s="14" t="s">
        <v>301</v>
      </c>
      <c r="J177" s="21">
        <f t="shared" si="10"/>
        <v>-28.709673207107894</v>
      </c>
      <c r="K177" s="22">
        <f t="shared" si="11"/>
        <v>45747</v>
      </c>
      <c r="L177" s="22" t="s">
        <v>314</v>
      </c>
      <c r="M177" s="21"/>
    </row>
    <row r="178" spans="1:13" x14ac:dyDescent="0.3">
      <c r="A178" s="10">
        <v>324</v>
      </c>
      <c r="B178" s="11">
        <v>45741</v>
      </c>
      <c r="C178" s="12" t="s">
        <v>162</v>
      </c>
      <c r="D178" s="10" t="s">
        <v>175</v>
      </c>
      <c r="E178" s="13">
        <v>62900000000</v>
      </c>
      <c r="F178" s="14">
        <v>49.094080300230431</v>
      </c>
      <c r="G178" s="14">
        <v>0</v>
      </c>
      <c r="H178" s="14">
        <v>0</v>
      </c>
      <c r="I178" s="14" t="s">
        <v>301</v>
      </c>
      <c r="J178" s="21">
        <f t="shared" si="10"/>
        <v>-49.094080300230431</v>
      </c>
      <c r="K178" s="22">
        <f t="shared" si="11"/>
        <v>45747</v>
      </c>
      <c r="L178" s="22" t="s">
        <v>316</v>
      </c>
      <c r="M178" s="21"/>
    </row>
    <row r="179" spans="1:13" x14ac:dyDescent="0.3">
      <c r="A179" s="10">
        <v>338</v>
      </c>
      <c r="B179" s="11">
        <v>45741</v>
      </c>
      <c r="C179" s="12" t="s">
        <v>64</v>
      </c>
      <c r="D179" s="10" t="s">
        <v>16</v>
      </c>
      <c r="E179" s="13">
        <v>626</v>
      </c>
      <c r="F179" s="14">
        <v>1.4006977862313144</v>
      </c>
      <c r="G179" s="14">
        <v>0</v>
      </c>
      <c r="H179" s="14">
        <v>0</v>
      </c>
      <c r="I179" s="14" t="s">
        <v>299</v>
      </c>
      <c r="J179" s="21">
        <f t="shared" si="10"/>
        <v>-1.4006977862313144</v>
      </c>
      <c r="K179" s="22">
        <f t="shared" si="11"/>
        <v>45747</v>
      </c>
      <c r="L179" s="22" t="s">
        <v>314</v>
      </c>
      <c r="M179" s="21"/>
    </row>
    <row r="180" spans="1:13" x14ac:dyDescent="0.3">
      <c r="A180" s="10">
        <v>343</v>
      </c>
      <c r="B180" s="11">
        <v>45742</v>
      </c>
      <c r="C180" s="12" t="s">
        <v>64</v>
      </c>
      <c r="D180" s="10" t="s">
        <v>16</v>
      </c>
      <c r="E180" s="13">
        <v>626</v>
      </c>
      <c r="F180" s="14">
        <v>0.50152396254363996</v>
      </c>
      <c r="G180" s="14">
        <v>0</v>
      </c>
      <c r="H180" s="14">
        <v>0</v>
      </c>
      <c r="I180" s="14" t="s">
        <v>299</v>
      </c>
      <c r="J180" s="21">
        <f t="shared" si="10"/>
        <v>-0.50152396254363996</v>
      </c>
      <c r="K180" s="22">
        <f t="shared" si="11"/>
        <v>45747</v>
      </c>
      <c r="L180" s="22" t="s">
        <v>314</v>
      </c>
      <c r="M180" s="21"/>
    </row>
    <row r="181" spans="1:13" x14ac:dyDescent="0.3">
      <c r="A181" s="10">
        <v>349</v>
      </c>
      <c r="B181" s="11">
        <v>45745</v>
      </c>
      <c r="C181" s="12" t="s">
        <v>64</v>
      </c>
      <c r="D181" s="10" t="s">
        <v>10</v>
      </c>
      <c r="E181" s="13">
        <v>668</v>
      </c>
      <c r="F181" s="14">
        <v>16.812526285243017</v>
      </c>
      <c r="G181" s="14">
        <v>0</v>
      </c>
      <c r="H181" s="14">
        <v>0</v>
      </c>
      <c r="I181" s="14" t="s">
        <v>306</v>
      </c>
      <c r="J181" s="21">
        <f t="shared" si="10"/>
        <v>-16.812526285243017</v>
      </c>
      <c r="K181" s="22">
        <f t="shared" si="11"/>
        <v>45747</v>
      </c>
      <c r="L181" s="22" t="s">
        <v>319</v>
      </c>
      <c r="M181" s="21"/>
    </row>
    <row r="182" spans="1:13" x14ac:dyDescent="0.3">
      <c r="A182" s="10">
        <v>352</v>
      </c>
      <c r="B182" s="11">
        <v>45746</v>
      </c>
      <c r="C182" s="12" t="s">
        <v>64</v>
      </c>
      <c r="D182" s="10" t="s">
        <v>167</v>
      </c>
      <c r="E182" s="13">
        <v>626</v>
      </c>
      <c r="F182" s="14">
        <v>8.928892669933008</v>
      </c>
      <c r="G182" s="14">
        <v>0</v>
      </c>
      <c r="H182" s="14">
        <v>0</v>
      </c>
      <c r="I182" s="14" t="s">
        <v>299</v>
      </c>
      <c r="J182" s="21">
        <f t="shared" si="10"/>
        <v>-8.928892669933008</v>
      </c>
      <c r="K182" s="22">
        <f t="shared" si="11"/>
        <v>45747</v>
      </c>
      <c r="L182" s="22" t="s">
        <v>314</v>
      </c>
      <c r="M182" s="21"/>
    </row>
    <row r="183" spans="1:13" x14ac:dyDescent="0.3">
      <c r="A183" s="10">
        <v>363</v>
      </c>
      <c r="B183" s="11">
        <v>45743</v>
      </c>
      <c r="C183" s="12" t="s">
        <v>268</v>
      </c>
      <c r="D183" s="10" t="s">
        <v>176</v>
      </c>
      <c r="E183" s="13">
        <v>62900000000</v>
      </c>
      <c r="F183" s="14">
        <v>27.122612615456493</v>
      </c>
      <c r="G183" s="14">
        <v>0</v>
      </c>
      <c r="H183" s="14">
        <v>0</v>
      </c>
      <c r="I183" s="14" t="s">
        <v>301</v>
      </c>
      <c r="J183" s="21">
        <f t="shared" si="10"/>
        <v>-27.122612615456493</v>
      </c>
      <c r="K183" s="22">
        <f t="shared" si="11"/>
        <v>45747</v>
      </c>
      <c r="L183" s="22" t="s">
        <v>317</v>
      </c>
      <c r="M183" s="21"/>
    </row>
    <row r="184" spans="1:13" x14ac:dyDescent="0.3">
      <c r="A184" s="10">
        <v>364</v>
      </c>
      <c r="B184" s="11">
        <v>45745</v>
      </c>
      <c r="C184" s="12" t="s">
        <v>283</v>
      </c>
      <c r="D184" s="10" t="s">
        <v>178</v>
      </c>
      <c r="E184" s="13">
        <v>62900000000</v>
      </c>
      <c r="F184" s="14">
        <v>32.099944602383452</v>
      </c>
      <c r="G184" s="14">
        <v>0</v>
      </c>
      <c r="H184" s="14">
        <v>0</v>
      </c>
      <c r="I184" s="14" t="s">
        <v>301</v>
      </c>
      <c r="J184" s="21">
        <f t="shared" si="10"/>
        <v>-32.099944602383452</v>
      </c>
      <c r="K184" s="22">
        <f t="shared" si="11"/>
        <v>45747</v>
      </c>
      <c r="L184" s="22" t="s">
        <v>316</v>
      </c>
      <c r="M184" s="21"/>
    </row>
    <row r="185" spans="1:13" x14ac:dyDescent="0.3">
      <c r="A185" s="10">
        <v>365</v>
      </c>
      <c r="B185" s="11">
        <v>45745</v>
      </c>
      <c r="C185" s="12" t="s">
        <v>259</v>
      </c>
      <c r="D185" s="10" t="s">
        <v>179</v>
      </c>
      <c r="E185" s="13">
        <v>62900000000</v>
      </c>
      <c r="F185" s="14">
        <v>91.147483200350337</v>
      </c>
      <c r="G185" s="14">
        <v>0</v>
      </c>
      <c r="H185" s="14">
        <v>0</v>
      </c>
      <c r="I185" s="14" t="s">
        <v>301</v>
      </c>
      <c r="J185" s="21">
        <f t="shared" si="10"/>
        <v>-91.147483200350337</v>
      </c>
      <c r="K185" s="22">
        <f t="shared" si="11"/>
        <v>45747</v>
      </c>
      <c r="L185" s="22" t="s">
        <v>316</v>
      </c>
      <c r="M185" s="21"/>
    </row>
    <row r="186" spans="1:13" x14ac:dyDescent="0.3">
      <c r="A186" s="10">
        <v>366</v>
      </c>
      <c r="B186" s="11">
        <v>45745</v>
      </c>
      <c r="C186" s="12" t="s">
        <v>180</v>
      </c>
      <c r="D186" s="10" t="s">
        <v>181</v>
      </c>
      <c r="E186" s="13">
        <v>62900000000</v>
      </c>
      <c r="F186" s="14">
        <v>153.52811214125927</v>
      </c>
      <c r="G186" s="14">
        <v>0</v>
      </c>
      <c r="H186" s="14">
        <v>0</v>
      </c>
      <c r="I186" s="14" t="s">
        <v>301</v>
      </c>
      <c r="J186" s="21">
        <f t="shared" si="10"/>
        <v>-153.52811214125927</v>
      </c>
      <c r="K186" s="22">
        <f t="shared" si="11"/>
        <v>45747</v>
      </c>
      <c r="L186" s="22" t="s">
        <v>317</v>
      </c>
      <c r="M186" s="21"/>
    </row>
    <row r="187" spans="1:13" x14ac:dyDescent="0.3">
      <c r="A187" s="10">
        <v>367</v>
      </c>
      <c r="B187" s="11">
        <v>45747</v>
      </c>
      <c r="C187" s="12" t="s">
        <v>180</v>
      </c>
      <c r="D187" s="10" t="s">
        <v>182</v>
      </c>
      <c r="E187" s="13">
        <v>62900000000</v>
      </c>
      <c r="F187" s="14">
        <v>108.20628521670277</v>
      </c>
      <c r="G187" s="14">
        <v>0</v>
      </c>
      <c r="H187" s="14">
        <v>0</v>
      </c>
      <c r="I187" s="14" t="s">
        <v>301</v>
      </c>
      <c r="J187" s="21">
        <f t="shared" si="10"/>
        <v>-108.20628521670277</v>
      </c>
      <c r="K187" s="22">
        <f t="shared" si="11"/>
        <v>45747</v>
      </c>
      <c r="L187" s="22" t="s">
        <v>314</v>
      </c>
      <c r="M187" s="21"/>
    </row>
    <row r="188" spans="1:13" x14ac:dyDescent="0.3">
      <c r="A188" s="10">
        <v>368</v>
      </c>
      <c r="B188" s="11">
        <v>45747</v>
      </c>
      <c r="C188" s="12" t="s">
        <v>263</v>
      </c>
      <c r="D188" s="10" t="s">
        <v>183</v>
      </c>
      <c r="E188" s="13">
        <v>62900000000</v>
      </c>
      <c r="F188" s="14">
        <v>174.89034709135893</v>
      </c>
      <c r="G188" s="14">
        <v>0</v>
      </c>
      <c r="H188" s="14">
        <v>0</v>
      </c>
      <c r="I188" s="14" t="s">
        <v>301</v>
      </c>
      <c r="J188" s="21">
        <f t="shared" si="10"/>
        <v>-174.89034709135893</v>
      </c>
      <c r="K188" s="22">
        <f t="shared" si="11"/>
        <v>45747</v>
      </c>
      <c r="L188" s="22" t="s">
        <v>316</v>
      </c>
      <c r="M188" s="21"/>
    </row>
    <row r="189" spans="1:13" x14ac:dyDescent="0.3">
      <c r="A189" s="10">
        <v>369</v>
      </c>
      <c r="B189" s="11">
        <v>45747</v>
      </c>
      <c r="C189" s="12" t="s">
        <v>197</v>
      </c>
      <c r="D189" s="10" t="s">
        <v>198</v>
      </c>
      <c r="E189" s="13">
        <v>640</v>
      </c>
      <c r="F189" s="14">
        <v>12929.871219497716</v>
      </c>
      <c r="G189" s="14">
        <v>0</v>
      </c>
      <c r="H189" s="14">
        <v>0</v>
      </c>
      <c r="I189" s="14" t="s">
        <v>303</v>
      </c>
      <c r="J189" s="21">
        <f t="shared" si="10"/>
        <v>-12929.871219497716</v>
      </c>
      <c r="K189" s="22">
        <f t="shared" si="11"/>
        <v>45747</v>
      </c>
      <c r="L189" s="22" t="s">
        <v>319</v>
      </c>
      <c r="M189" s="21"/>
    </row>
    <row r="190" spans="1:13" x14ac:dyDescent="0.3">
      <c r="A190" s="10">
        <v>369</v>
      </c>
      <c r="B190" s="11">
        <v>45747</v>
      </c>
      <c r="C190" s="12" t="s">
        <v>197</v>
      </c>
      <c r="D190" s="10" t="s">
        <v>198</v>
      </c>
      <c r="E190" s="13">
        <v>642</v>
      </c>
      <c r="F190" s="14">
        <v>578.54605609346015</v>
      </c>
      <c r="G190" s="14">
        <v>0</v>
      </c>
      <c r="H190" s="14">
        <v>0</v>
      </c>
      <c r="I190" s="14" t="s">
        <v>304</v>
      </c>
      <c r="J190" s="21">
        <f t="shared" si="10"/>
        <v>-578.54605609346015</v>
      </c>
      <c r="K190" s="22">
        <f t="shared" si="11"/>
        <v>45747</v>
      </c>
      <c r="L190" s="22" t="s">
        <v>319</v>
      </c>
      <c r="M190" s="21"/>
    </row>
    <row r="191" spans="1:13" x14ac:dyDescent="0.3">
      <c r="A191" s="10">
        <v>369</v>
      </c>
      <c r="B191" s="11">
        <v>45747</v>
      </c>
      <c r="C191" s="12" t="s">
        <v>197</v>
      </c>
      <c r="D191" s="10" t="s">
        <v>198</v>
      </c>
      <c r="E191" s="13">
        <v>755</v>
      </c>
      <c r="F191" s="14">
        <v>0</v>
      </c>
      <c r="G191" s="14">
        <v>1454.5675931495682</v>
      </c>
      <c r="H191" s="14">
        <v>0</v>
      </c>
      <c r="I191" s="14" t="s">
        <v>310</v>
      </c>
      <c r="J191" s="21">
        <f t="shared" si="10"/>
        <v>1454.5675931495682</v>
      </c>
      <c r="K191" s="22">
        <f t="shared" si="11"/>
        <v>45747</v>
      </c>
      <c r="L191" s="22" t="s">
        <v>314</v>
      </c>
      <c r="M191" s="21"/>
    </row>
    <row r="192" spans="1:13" x14ac:dyDescent="0.3">
      <c r="A192" s="10">
        <v>370</v>
      </c>
      <c r="B192" s="11">
        <v>45747</v>
      </c>
      <c r="C192" s="12" t="s">
        <v>184</v>
      </c>
      <c r="D192" s="10" t="s">
        <v>185</v>
      </c>
      <c r="E192" s="13">
        <v>62900000000</v>
      </c>
      <c r="F192" s="14">
        <v>1555.7541883264021</v>
      </c>
      <c r="G192" s="14">
        <v>0</v>
      </c>
      <c r="H192" s="14">
        <v>0</v>
      </c>
      <c r="I192" s="14" t="s">
        <v>301</v>
      </c>
      <c r="J192" s="21">
        <f t="shared" si="10"/>
        <v>-1555.7541883264021</v>
      </c>
      <c r="K192" s="22">
        <f t="shared" si="11"/>
        <v>45747</v>
      </c>
      <c r="L192" s="22" t="s">
        <v>314</v>
      </c>
      <c r="M192" s="21"/>
    </row>
    <row r="193" spans="1:13" x14ac:dyDescent="0.3">
      <c r="A193" s="10">
        <v>370</v>
      </c>
      <c r="B193" s="11">
        <v>45747</v>
      </c>
      <c r="C193" s="12" t="s">
        <v>184</v>
      </c>
      <c r="D193" s="10" t="s">
        <v>185</v>
      </c>
      <c r="E193" s="13">
        <v>62900000000</v>
      </c>
      <c r="F193" s="14">
        <v>74.187881531674776</v>
      </c>
      <c r="G193" s="14">
        <v>0</v>
      </c>
      <c r="H193" s="14">
        <v>0</v>
      </c>
      <c r="I193" s="14" t="s">
        <v>301</v>
      </c>
      <c r="J193" s="21">
        <f t="shared" si="10"/>
        <v>-74.187881531674776</v>
      </c>
      <c r="K193" s="22">
        <f t="shared" si="11"/>
        <v>45747</v>
      </c>
      <c r="L193" s="22" t="s">
        <v>314</v>
      </c>
      <c r="M193" s="21"/>
    </row>
    <row r="194" spans="1:13" x14ac:dyDescent="0.3">
      <c r="A194" s="10">
        <v>371</v>
      </c>
      <c r="B194" s="11">
        <v>45734</v>
      </c>
      <c r="C194" s="12" t="s">
        <v>190</v>
      </c>
      <c r="D194" s="10" t="s">
        <v>191</v>
      </c>
      <c r="E194" s="13">
        <v>62900000001</v>
      </c>
      <c r="F194" s="14">
        <v>5.5548162467609234</v>
      </c>
      <c r="G194" s="14">
        <v>0</v>
      </c>
      <c r="H194" s="14">
        <v>0</v>
      </c>
      <c r="I194" s="14" t="s">
        <v>302</v>
      </c>
      <c r="J194" s="21">
        <f t="shared" ref="J194:J200" si="12">G194-F194</f>
        <v>-5.5548162467609234</v>
      </c>
      <c r="K194" s="22">
        <f t="shared" ref="K194:K200" si="13">EOMONTH(B194,0)</f>
        <v>45747</v>
      </c>
      <c r="L194" s="22" t="s">
        <v>314</v>
      </c>
      <c r="M194" s="21"/>
    </row>
    <row r="195" spans="1:13" x14ac:dyDescent="0.3">
      <c r="A195" s="10">
        <v>372</v>
      </c>
      <c r="B195" s="11">
        <v>45734</v>
      </c>
      <c r="C195" s="12" t="s">
        <v>192</v>
      </c>
      <c r="D195" s="10" t="s">
        <v>193</v>
      </c>
      <c r="E195" s="13">
        <v>62900000001</v>
      </c>
      <c r="F195" s="14">
        <v>3.5688556027971989</v>
      </c>
      <c r="G195" s="14">
        <v>0</v>
      </c>
      <c r="H195" s="14">
        <v>0</v>
      </c>
      <c r="I195" s="14" t="s">
        <v>302</v>
      </c>
      <c r="J195" s="21">
        <f t="shared" si="12"/>
        <v>-3.5688556027971989</v>
      </c>
      <c r="K195" s="22">
        <f t="shared" si="13"/>
        <v>45747</v>
      </c>
      <c r="L195" s="22" t="s">
        <v>316</v>
      </c>
      <c r="M195" s="21"/>
    </row>
    <row r="196" spans="1:13" x14ac:dyDescent="0.3">
      <c r="A196" s="10">
        <v>373</v>
      </c>
      <c r="B196" s="11">
        <v>45746</v>
      </c>
      <c r="C196" s="12" t="s">
        <v>284</v>
      </c>
      <c r="D196" s="10" t="s">
        <v>196</v>
      </c>
      <c r="E196" s="13">
        <v>62900000001</v>
      </c>
      <c r="F196" s="14">
        <v>17.297783873010758</v>
      </c>
      <c r="G196" s="14">
        <v>0</v>
      </c>
      <c r="H196" s="14">
        <v>0</v>
      </c>
      <c r="I196" s="14" t="s">
        <v>302</v>
      </c>
      <c r="J196" s="21">
        <f t="shared" si="12"/>
        <v>-17.297783873010758</v>
      </c>
      <c r="K196" s="22">
        <f t="shared" si="13"/>
        <v>45747</v>
      </c>
      <c r="L196" s="22" t="s">
        <v>314</v>
      </c>
      <c r="M196" s="21"/>
    </row>
    <row r="197" spans="1:13" x14ac:dyDescent="0.3">
      <c r="A197" s="10">
        <v>374</v>
      </c>
      <c r="B197" s="11">
        <v>45734</v>
      </c>
      <c r="C197" s="12" t="s">
        <v>194</v>
      </c>
      <c r="D197" s="10" t="s">
        <v>195</v>
      </c>
      <c r="E197" s="13">
        <v>62900000001</v>
      </c>
      <c r="F197" s="14">
        <v>13.495677076616888</v>
      </c>
      <c r="G197" s="14">
        <v>0</v>
      </c>
      <c r="H197" s="14">
        <v>0</v>
      </c>
      <c r="I197" s="14" t="s">
        <v>302</v>
      </c>
      <c r="J197" s="21">
        <f t="shared" si="12"/>
        <v>-13.495677076616888</v>
      </c>
      <c r="K197" s="22">
        <f t="shared" si="13"/>
        <v>45747</v>
      </c>
      <c r="L197" s="22" t="s">
        <v>314</v>
      </c>
      <c r="M197" s="21"/>
    </row>
    <row r="198" spans="1:13" x14ac:dyDescent="0.3">
      <c r="A198" s="10">
        <v>375</v>
      </c>
      <c r="B198" s="11">
        <v>45747</v>
      </c>
      <c r="C198" s="12" t="s">
        <v>186</v>
      </c>
      <c r="D198" s="10" t="s">
        <v>187</v>
      </c>
      <c r="E198" s="13">
        <v>62900000000</v>
      </c>
      <c r="F198" s="14">
        <v>2.4146614012727348</v>
      </c>
      <c r="G198" s="14">
        <v>0</v>
      </c>
      <c r="H198" s="14">
        <v>0</v>
      </c>
      <c r="I198" s="14" t="s">
        <v>301</v>
      </c>
      <c r="J198" s="21">
        <f t="shared" si="12"/>
        <v>-2.4146614012727348</v>
      </c>
      <c r="K198" s="22">
        <f t="shared" si="13"/>
        <v>45747</v>
      </c>
      <c r="L198" s="22" t="s">
        <v>316</v>
      </c>
      <c r="M198" s="21"/>
    </row>
    <row r="199" spans="1:13" x14ac:dyDescent="0.3">
      <c r="A199" s="10">
        <v>376</v>
      </c>
      <c r="B199" s="11">
        <v>45743</v>
      </c>
      <c r="C199" s="12" t="s">
        <v>269</v>
      </c>
      <c r="D199" s="10" t="s">
        <v>177</v>
      </c>
      <c r="E199" s="13">
        <v>62900000000</v>
      </c>
      <c r="F199" s="14">
        <v>38.544771515638253</v>
      </c>
      <c r="G199" s="14">
        <v>0</v>
      </c>
      <c r="H199" s="14">
        <v>0</v>
      </c>
      <c r="I199" s="14" t="s">
        <v>301</v>
      </c>
      <c r="J199" s="21">
        <f t="shared" si="12"/>
        <v>-38.544771515638253</v>
      </c>
      <c r="K199" s="22">
        <f t="shared" si="13"/>
        <v>45747</v>
      </c>
      <c r="L199" s="22" t="s">
        <v>317</v>
      </c>
      <c r="M199" s="21"/>
    </row>
    <row r="200" spans="1:13" x14ac:dyDescent="0.3">
      <c r="A200" s="10">
        <v>377</v>
      </c>
      <c r="B200" s="11">
        <v>45747</v>
      </c>
      <c r="C200" s="12" t="s">
        <v>280</v>
      </c>
      <c r="D200" s="10" t="s">
        <v>281</v>
      </c>
      <c r="E200" s="13">
        <v>62900000001</v>
      </c>
      <c r="F200" s="14">
        <v>43.806803763581463</v>
      </c>
      <c r="G200" s="14">
        <v>0</v>
      </c>
      <c r="H200" s="14">
        <v>0</v>
      </c>
      <c r="I200" s="14" t="s">
        <v>302</v>
      </c>
      <c r="J200" s="21">
        <f t="shared" si="12"/>
        <v>-43.806803763581463</v>
      </c>
      <c r="K200" s="22">
        <f t="shared" si="13"/>
        <v>45747</v>
      </c>
      <c r="L200" s="22" t="s">
        <v>314</v>
      </c>
      <c r="M200" s="21"/>
    </row>
    <row r="201" spans="1:13" s="2" customFormat="1" x14ac:dyDescent="0.3">
      <c r="A201" s="15" t="s">
        <v>0</v>
      </c>
      <c r="B201" s="16" t="s">
        <v>0</v>
      </c>
      <c r="C201" s="17" t="s">
        <v>0</v>
      </c>
      <c r="D201" s="15" t="s">
        <v>0</v>
      </c>
      <c r="E201" s="18" t="s">
        <v>0</v>
      </c>
      <c r="F201" s="19" t="s">
        <v>0</v>
      </c>
      <c r="G201" s="19" t="s">
        <v>0</v>
      </c>
      <c r="H201" s="19" t="s">
        <v>0</v>
      </c>
      <c r="I201" s="19" t="s">
        <v>0</v>
      </c>
      <c r="J201" s="23" t="s">
        <v>0</v>
      </c>
      <c r="K201" s="24" t="s">
        <v>0</v>
      </c>
      <c r="L201" s="24" t="s">
        <v>0</v>
      </c>
      <c r="M201" s="23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Medina</dc:creator>
  <cp:lastModifiedBy>Alberto Cañizares</cp:lastModifiedBy>
  <cp:lastPrinted>2020-04-06T11:16:45Z</cp:lastPrinted>
  <dcterms:created xsi:type="dcterms:W3CDTF">2019-04-17T09:37:05Z</dcterms:created>
  <dcterms:modified xsi:type="dcterms:W3CDTF">2026-01-16T09:00:11Z</dcterms:modified>
</cp:coreProperties>
</file>